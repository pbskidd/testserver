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315" windowWidth="18195" windowHeight="10110"/>
  </bookViews>
  <sheets>
    <sheet name="Instructions" sheetId="2" r:id="rId1"/>
    <sheet name="products_export" sheetId="1" r:id="rId2"/>
    <sheet name="Data" sheetId="3" r:id="rId3"/>
  </sheets>
  <calcPr calcId="144525"/>
</workbook>
</file>

<file path=xl/calcChain.xml><?xml version="1.0" encoding="utf-8"?>
<calcChain xmlns="http://schemas.openxmlformats.org/spreadsheetml/2006/main">
  <c r="I3" i="3" l="1"/>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6" i="3"/>
  <c r="G47" i="3"/>
  <c r="G48" i="3"/>
  <c r="G49" i="3"/>
  <c r="G50" i="3"/>
  <c r="G52" i="3"/>
  <c r="G53" i="3"/>
  <c r="G54"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7" i="3"/>
  <c r="G88" i="3"/>
  <c r="G89" i="3"/>
  <c r="G90" i="3"/>
  <c r="G91" i="3"/>
  <c r="G92" i="3"/>
  <c r="G93" i="3"/>
  <c r="G94" i="3"/>
  <c r="G95" i="3"/>
  <c r="G96" i="3"/>
  <c r="G97" i="3"/>
  <c r="G98" i="3"/>
  <c r="G99" i="3"/>
  <c r="G100" i="3"/>
  <c r="G101" i="3"/>
  <c r="G102" i="3"/>
  <c r="G104" i="3"/>
  <c r="G105" i="3"/>
  <c r="G106" i="3"/>
  <c r="G107" i="3"/>
  <c r="G108"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3" i="3"/>
  <c r="G194" i="3"/>
  <c r="G195" i="3"/>
  <c r="G196" i="3"/>
  <c r="G197" i="3"/>
  <c r="G198" i="3"/>
  <c r="G199" i="3"/>
  <c r="G200" i="3"/>
  <c r="G201" i="3"/>
  <c r="G202" i="3"/>
  <c r="G203" i="3"/>
  <c r="G204" i="3"/>
  <c r="G205" i="3"/>
  <c r="G206" i="3"/>
  <c r="G207" i="3"/>
  <c r="G208" i="3"/>
  <c r="G210" i="3"/>
  <c r="G211" i="3"/>
  <c r="G212" i="3"/>
  <c r="G213" i="3"/>
  <c r="G214" i="3"/>
  <c r="G215"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E213" i="3"/>
  <c r="E214" i="3"/>
  <c r="E215" i="3"/>
  <c r="D213" i="3"/>
  <c r="D214" i="3"/>
  <c r="D215"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H203" i="3"/>
  <c r="J203" i="3" s="1"/>
  <c r="H150" i="3"/>
  <c r="J150" i="3" s="1"/>
  <c r="H91" i="3"/>
  <c r="J91" i="3" s="1"/>
  <c r="H60" i="3"/>
  <c r="J60" i="3" s="1"/>
  <c r="L2" i="1" l="1"/>
  <c r="L126" i="1"/>
  <c r="E126" i="3" s="1"/>
  <c r="L51" i="1"/>
  <c r="E51" i="3" s="1"/>
  <c r="L205" i="1"/>
  <c r="E205" i="3" s="1"/>
  <c r="L39" i="1"/>
  <c r="E39" i="3" s="1"/>
  <c r="L91" i="1"/>
  <c r="E91" i="3" s="1"/>
  <c r="L85" i="1"/>
  <c r="E85" i="3" s="1"/>
  <c r="L60" i="1"/>
  <c r="E60" i="3" s="1"/>
  <c r="L18" i="1"/>
  <c r="E18" i="3" s="1"/>
  <c r="L161" i="1"/>
  <c r="E161" i="3" s="1"/>
  <c r="L5" i="1"/>
  <c r="E5" i="3" s="1"/>
  <c r="L61" i="1"/>
  <c r="E61" i="3" s="1"/>
  <c r="L33" i="1"/>
  <c r="E33" i="3" s="1"/>
  <c r="L8" i="1"/>
  <c r="E8" i="3" s="1"/>
  <c r="L90" i="1"/>
  <c r="E90" i="3" s="1"/>
  <c r="L148" i="1"/>
  <c r="E148" i="3" s="1"/>
  <c r="L124" i="1"/>
  <c r="E124" i="3" s="1"/>
  <c r="L117" i="1"/>
  <c r="E117" i="3" s="1"/>
  <c r="L50" i="1"/>
  <c r="E50" i="3" s="1"/>
  <c r="L123" i="1"/>
  <c r="E123" i="3" s="1"/>
  <c r="L65" i="1"/>
  <c r="E65" i="3" s="1"/>
  <c r="L86" i="1"/>
  <c r="E86" i="3" s="1"/>
  <c r="L209" i="1"/>
  <c r="E209" i="3" s="1"/>
  <c r="L59" i="1"/>
  <c r="E59" i="3" s="1"/>
  <c r="L103" i="1"/>
  <c r="E103" i="3" s="1"/>
  <c r="L116" i="1"/>
  <c r="E116" i="3" s="1"/>
  <c r="L34" i="1"/>
  <c r="E34" i="3" s="1"/>
  <c r="L32" i="1"/>
  <c r="E32" i="3" s="1"/>
  <c r="L136" i="1"/>
  <c r="E136" i="3" s="1"/>
  <c r="L135" i="1"/>
  <c r="E135" i="3" s="1"/>
  <c r="L6" i="1"/>
  <c r="E6" i="3" s="1"/>
  <c r="L146" i="1"/>
  <c r="E146" i="3" s="1"/>
  <c r="L58" i="1"/>
  <c r="E58" i="3" s="1"/>
  <c r="L53" i="1"/>
  <c r="E53" i="3" s="1"/>
  <c r="L164" i="1"/>
  <c r="E164" i="3" s="1"/>
  <c r="L14" i="1"/>
  <c r="E14" i="3" s="1"/>
  <c r="L83" i="1"/>
  <c r="E83" i="3" s="1"/>
  <c r="L100" i="1"/>
  <c r="E100" i="3" s="1"/>
  <c r="L159" i="1"/>
  <c r="E159" i="3" s="1"/>
  <c r="L80" i="1"/>
  <c r="E80" i="3" s="1"/>
  <c r="L15" i="1"/>
  <c r="E15" i="3" s="1"/>
  <c r="L113" i="1"/>
  <c r="E113" i="3" s="1"/>
  <c r="L49" i="1"/>
  <c r="E49" i="3" s="1"/>
  <c r="L77" i="1"/>
  <c r="E77" i="3" s="1"/>
  <c r="L132" i="1"/>
  <c r="E132" i="3" s="1"/>
  <c r="L30" i="1"/>
  <c r="E30" i="3" s="1"/>
  <c r="L35" i="1"/>
  <c r="E35" i="3" s="1"/>
  <c r="L67" i="1"/>
  <c r="E67" i="3" s="1"/>
  <c r="L109" i="1"/>
  <c r="E109" i="3" s="1"/>
  <c r="L156" i="1"/>
  <c r="E156" i="3" s="1"/>
  <c r="L42" i="1"/>
  <c r="E42" i="3" s="1"/>
  <c r="L208" i="1"/>
  <c r="E208" i="3" s="1"/>
  <c r="L27" i="1"/>
  <c r="E27" i="3" s="1"/>
  <c r="L94" i="1"/>
  <c r="E94" i="3" s="1"/>
  <c r="L111" i="1"/>
  <c r="E111" i="3" s="1"/>
  <c r="L171" i="1"/>
  <c r="E171" i="3" s="1"/>
  <c r="L3" i="1"/>
  <c r="E3" i="3" s="1"/>
  <c r="L48" i="1"/>
  <c r="E48" i="3" s="1"/>
  <c r="L54" i="1"/>
  <c r="E54" i="3" s="1"/>
  <c r="L119" i="1"/>
  <c r="E119" i="3" s="1"/>
  <c r="L153" i="1"/>
  <c r="E153" i="3" s="1"/>
  <c r="L170" i="1"/>
  <c r="E170" i="3" s="1"/>
  <c r="L138" i="1"/>
  <c r="E138" i="3" s="1"/>
  <c r="L212" i="1"/>
  <c r="E212" i="3" s="1"/>
  <c r="L105" i="1"/>
  <c r="E105" i="3" s="1"/>
  <c r="L186" i="1"/>
  <c r="E186" i="3" s="1"/>
  <c r="L28" i="1"/>
  <c r="E28" i="3" s="1"/>
  <c r="L93" i="1"/>
  <c r="E93" i="3" s="1"/>
  <c r="L163" i="1"/>
  <c r="E163" i="3" s="1"/>
  <c r="L182" i="1"/>
  <c r="E182" i="3" s="1"/>
  <c r="L179" i="1"/>
  <c r="E179" i="3" s="1"/>
  <c r="L190" i="1"/>
  <c r="E190" i="3" s="1"/>
  <c r="L194" i="1"/>
  <c r="E194" i="3" s="1"/>
  <c r="L43" i="1"/>
  <c r="E43" i="3" s="1"/>
  <c r="L46" i="1"/>
  <c r="E46" i="3" s="1"/>
  <c r="L211" i="1"/>
  <c r="E211" i="3" s="1"/>
  <c r="L87" i="1"/>
  <c r="E87" i="3" s="1"/>
  <c r="L13" i="1"/>
  <c r="E13" i="3" s="1"/>
  <c r="L188" i="1"/>
  <c r="E188" i="3" s="1"/>
  <c r="L175" i="1"/>
  <c r="E175" i="3" s="1"/>
  <c r="L178" i="1"/>
  <c r="E178" i="3" s="1"/>
  <c r="L180" i="1"/>
  <c r="E180" i="3" s="1"/>
  <c r="L177" i="1"/>
  <c r="E177" i="3" s="1"/>
  <c r="L12" i="1"/>
  <c r="E12" i="3" s="1"/>
  <c r="L185" i="1"/>
  <c r="E185" i="3" s="1"/>
  <c r="L174" i="1"/>
  <c r="E174" i="3" s="1"/>
  <c r="L133" i="1"/>
  <c r="E133" i="3" s="1"/>
  <c r="L176" i="1"/>
  <c r="E176" i="3" s="1"/>
  <c r="L64" i="1"/>
  <c r="E64" i="3" s="1"/>
  <c r="L206" i="1"/>
  <c r="E206" i="3" s="1"/>
  <c r="L108" i="1"/>
  <c r="E108" i="3" s="1"/>
  <c r="L184" i="1"/>
  <c r="E184" i="3" s="1"/>
  <c r="L181" i="1"/>
  <c r="E181" i="3" s="1"/>
  <c r="L137" i="1"/>
  <c r="E137" i="3" s="1"/>
  <c r="L141" i="1"/>
  <c r="E141" i="3" s="1"/>
  <c r="L165" i="1"/>
  <c r="E165" i="3" s="1"/>
  <c r="L10" i="1"/>
  <c r="E10" i="3" s="1"/>
  <c r="L154" i="1"/>
  <c r="E154" i="3" s="1"/>
  <c r="L52" i="1"/>
  <c r="E52" i="3" s="1"/>
  <c r="L115" i="1"/>
  <c r="E115" i="3" s="1"/>
  <c r="L68" i="1"/>
  <c r="E68" i="3" s="1"/>
  <c r="L71" i="1"/>
  <c r="E71" i="3" s="1"/>
  <c r="L82" i="1"/>
  <c r="E82" i="3" s="1"/>
  <c r="L17" i="1"/>
  <c r="E17" i="3" s="1"/>
  <c r="L152" i="1"/>
  <c r="E152" i="3" s="1"/>
  <c r="L101" i="1"/>
  <c r="E101" i="3" s="1"/>
  <c r="L88" i="1"/>
  <c r="E88" i="3" s="1"/>
  <c r="L162" i="1"/>
  <c r="E162" i="3" s="1"/>
  <c r="L158" i="1"/>
  <c r="E158" i="3" s="1"/>
  <c r="L37" i="1"/>
  <c r="E37" i="3" s="1"/>
  <c r="L149" i="1"/>
  <c r="E149" i="3" s="1"/>
  <c r="L150" i="1"/>
  <c r="E150" i="3" s="1"/>
  <c r="L151" i="1"/>
  <c r="E151" i="3" s="1"/>
  <c r="L9" i="1"/>
  <c r="E9" i="3" s="1"/>
  <c r="L31" i="1"/>
  <c r="E31" i="3" s="1"/>
  <c r="L198" i="1"/>
  <c r="E198" i="3" s="1"/>
  <c r="L127" i="1"/>
  <c r="E127" i="3" s="1"/>
  <c r="L173" i="1"/>
  <c r="E173" i="3" s="1"/>
  <c r="L192" i="1"/>
  <c r="E192" i="3" s="1"/>
  <c r="L79" i="1"/>
  <c r="E79" i="3" s="1"/>
  <c r="L26" i="1"/>
  <c r="E26" i="3" s="1"/>
  <c r="L155" i="1"/>
  <c r="E155" i="3" s="1"/>
  <c r="L204" i="1"/>
  <c r="E204" i="3" s="1"/>
  <c r="L70" i="1"/>
  <c r="E70" i="3" s="1"/>
  <c r="L57" i="1"/>
  <c r="E57" i="3" s="1"/>
  <c r="L144" i="1"/>
  <c r="E144" i="3" s="1"/>
  <c r="L75" i="1"/>
  <c r="E75" i="3" s="1"/>
  <c r="L38" i="1"/>
  <c r="E38" i="3" s="1"/>
  <c r="L202" i="1"/>
  <c r="E202" i="3" s="1"/>
  <c r="L168" i="1"/>
  <c r="E168" i="3" s="1"/>
  <c r="L191" i="1"/>
  <c r="E191" i="3" s="1"/>
  <c r="L210" i="1"/>
  <c r="E210" i="3" s="1"/>
  <c r="L19" i="1"/>
  <c r="E19" i="3" s="1"/>
  <c r="L195" i="1"/>
  <c r="E195" i="3" s="1"/>
  <c r="L102" i="1"/>
  <c r="E102" i="3" s="1"/>
  <c r="L189" i="1"/>
  <c r="E189" i="3" s="1"/>
  <c r="L74" i="1"/>
  <c r="E74" i="3" s="1"/>
  <c r="L187" i="1"/>
  <c r="E187" i="3" s="1"/>
  <c r="L183" i="1"/>
  <c r="E183" i="3" s="1"/>
  <c r="L193" i="1"/>
  <c r="E193" i="3" s="1"/>
  <c r="L203" i="1"/>
  <c r="E203" i="3" s="1"/>
  <c r="L11" i="1"/>
  <c r="E11" i="3" s="1"/>
  <c r="L95" i="1"/>
  <c r="E95" i="3" s="1"/>
  <c r="L40" i="1"/>
  <c r="E40" i="3" s="1"/>
  <c r="L97" i="1"/>
  <c r="E97" i="3" s="1"/>
  <c r="L47" i="1"/>
  <c r="E47" i="3" s="1"/>
  <c r="L45" i="1"/>
  <c r="E45" i="3" s="1"/>
  <c r="L69" i="1"/>
  <c r="E69" i="3" s="1"/>
  <c r="L73" i="1"/>
  <c r="E73" i="3" s="1"/>
  <c r="L44" i="1"/>
  <c r="E44" i="3" s="1"/>
  <c r="L22" i="1"/>
  <c r="E22" i="3" s="1"/>
  <c r="L62" i="1"/>
  <c r="E62" i="3" s="1"/>
  <c r="L96" i="1"/>
  <c r="E96" i="3" s="1"/>
  <c r="L134" i="1"/>
  <c r="E134" i="3" s="1"/>
  <c r="L16" i="1"/>
  <c r="E16" i="3" s="1"/>
  <c r="L99" i="1"/>
  <c r="E99" i="3" s="1"/>
  <c r="L172" i="1"/>
  <c r="E172" i="3" s="1"/>
  <c r="L166" i="1"/>
  <c r="E166" i="3" s="1"/>
  <c r="L55" i="1"/>
  <c r="E55" i="3" s="1"/>
  <c r="L107" i="1"/>
  <c r="E107" i="3" s="1"/>
  <c r="L200" i="1"/>
  <c r="E200" i="3" s="1"/>
  <c r="L21" i="1"/>
  <c r="E21" i="3" s="1"/>
  <c r="L25" i="1"/>
  <c r="E25" i="3" s="1"/>
  <c r="L121" i="1"/>
  <c r="E121" i="3" s="1"/>
  <c r="L157" i="1"/>
  <c r="E157" i="3" s="1"/>
  <c r="L147" i="1"/>
  <c r="E147" i="3" s="1"/>
  <c r="L78" i="1"/>
  <c r="E78" i="3" s="1"/>
  <c r="L142" i="1"/>
  <c r="E142" i="3" s="1"/>
  <c r="L207" i="1"/>
  <c r="E207" i="3" s="1"/>
  <c r="L98" i="1"/>
  <c r="E98" i="3" s="1"/>
  <c r="L118" i="1"/>
  <c r="E118" i="3" s="1"/>
  <c r="L89" i="1"/>
  <c r="E89" i="3" s="1"/>
  <c r="L199" i="1"/>
  <c r="E199" i="3" s="1"/>
  <c r="L4" i="1"/>
  <c r="E4" i="3" s="1"/>
  <c r="L29" i="1"/>
  <c r="E29" i="3" s="1"/>
  <c r="L167" i="1"/>
  <c r="E167" i="3" s="1"/>
  <c r="L143" i="1"/>
  <c r="E143" i="3" s="1"/>
  <c r="L160" i="1"/>
  <c r="E160" i="3" s="1"/>
  <c r="L196" i="1"/>
  <c r="E196" i="3" s="1"/>
  <c r="L140" i="1"/>
  <c r="E140" i="3" s="1"/>
  <c r="L20" i="1"/>
  <c r="E20" i="3" s="1"/>
  <c r="L114" i="1"/>
  <c r="E114" i="3" s="1"/>
  <c r="L169" i="1"/>
  <c r="E169" i="3" s="1"/>
  <c r="L41" i="1"/>
  <c r="E41" i="3" s="1"/>
  <c r="L72" i="1"/>
  <c r="E72" i="3" s="1"/>
  <c r="L76" i="1"/>
  <c r="E76" i="3" s="1"/>
  <c r="L120" i="1"/>
  <c r="E120" i="3" s="1"/>
  <c r="L56" i="1"/>
  <c r="E56" i="3" s="1"/>
  <c r="L106" i="1"/>
  <c r="E106" i="3" s="1"/>
  <c r="L36" i="1"/>
  <c r="E36" i="3" s="1"/>
  <c r="L201" i="1"/>
  <c r="E201" i="3" s="1"/>
  <c r="L139" i="1"/>
  <c r="E139" i="3" s="1"/>
  <c r="L197" i="1"/>
  <c r="E197" i="3" s="1"/>
  <c r="L23" i="1"/>
  <c r="E23" i="3" s="1"/>
  <c r="L92" i="1"/>
  <c r="E92" i="3" s="1"/>
  <c r="L7" i="1"/>
  <c r="E7" i="3" s="1"/>
  <c r="L63" i="1"/>
  <c r="E63" i="3" s="1"/>
  <c r="L112" i="1"/>
  <c r="E112" i="3" s="1"/>
  <c r="L122" i="1"/>
  <c r="E122" i="3" s="1"/>
  <c r="L81" i="1"/>
  <c r="E81" i="3" s="1"/>
  <c r="L24" i="1"/>
  <c r="E24" i="3" s="1"/>
  <c r="L128" i="1"/>
  <c r="E128" i="3" s="1"/>
  <c r="L104" i="1"/>
  <c r="E104" i="3" s="1"/>
  <c r="L130" i="1"/>
  <c r="E130" i="3" s="1"/>
  <c r="L125" i="1"/>
  <c r="E125" i="3" s="1"/>
  <c r="L131" i="1"/>
  <c r="E131" i="3" s="1"/>
  <c r="L145" i="1"/>
  <c r="E145" i="3" s="1"/>
  <c r="L84" i="1"/>
  <c r="E84" i="3" s="1"/>
  <c r="L110" i="1"/>
  <c r="E110" i="3" s="1"/>
  <c r="L66" i="1"/>
  <c r="E66" i="3" s="1"/>
  <c r="L129" i="1"/>
  <c r="K2" i="1"/>
  <c r="K126" i="1"/>
  <c r="D126" i="3" s="1"/>
  <c r="K51" i="1"/>
  <c r="D51" i="3" s="1"/>
  <c r="K205" i="1"/>
  <c r="D205" i="3" s="1"/>
  <c r="K39" i="1"/>
  <c r="D39" i="3" s="1"/>
  <c r="K91" i="1"/>
  <c r="D91" i="3" s="1"/>
  <c r="K85" i="1"/>
  <c r="D85" i="3" s="1"/>
  <c r="K60" i="1"/>
  <c r="D60" i="3" s="1"/>
  <c r="K18" i="1"/>
  <c r="D18" i="3" s="1"/>
  <c r="K161" i="1"/>
  <c r="D161" i="3" s="1"/>
  <c r="K5" i="1"/>
  <c r="D5" i="3" s="1"/>
  <c r="K61" i="1"/>
  <c r="D61" i="3" s="1"/>
  <c r="K33" i="1"/>
  <c r="D33" i="3" s="1"/>
  <c r="K8" i="1"/>
  <c r="D8" i="3" s="1"/>
  <c r="K90" i="1"/>
  <c r="D90" i="3" s="1"/>
  <c r="K148" i="1"/>
  <c r="D148" i="3" s="1"/>
  <c r="K124" i="1"/>
  <c r="D124" i="3" s="1"/>
  <c r="K117" i="1"/>
  <c r="D117" i="3" s="1"/>
  <c r="K50" i="1"/>
  <c r="D50" i="3" s="1"/>
  <c r="K123" i="1"/>
  <c r="D123" i="3" s="1"/>
  <c r="K65" i="1"/>
  <c r="D65" i="3" s="1"/>
  <c r="K86" i="1"/>
  <c r="D86" i="3" s="1"/>
  <c r="K209" i="1"/>
  <c r="D209" i="3" s="1"/>
  <c r="K59" i="1"/>
  <c r="D59" i="3" s="1"/>
  <c r="K103" i="1"/>
  <c r="D103" i="3" s="1"/>
  <c r="K116" i="1"/>
  <c r="D116" i="3" s="1"/>
  <c r="K34" i="1"/>
  <c r="D34" i="3" s="1"/>
  <c r="K32" i="1"/>
  <c r="D32" i="3" s="1"/>
  <c r="K136" i="1"/>
  <c r="D136" i="3" s="1"/>
  <c r="K135" i="1"/>
  <c r="D135" i="3" s="1"/>
  <c r="K6" i="1"/>
  <c r="D6" i="3" s="1"/>
  <c r="K146" i="1"/>
  <c r="D146" i="3" s="1"/>
  <c r="K58" i="1"/>
  <c r="D58" i="3" s="1"/>
  <c r="K53" i="1"/>
  <c r="D53" i="3" s="1"/>
  <c r="K164" i="1"/>
  <c r="D164" i="3" s="1"/>
  <c r="K14" i="1"/>
  <c r="D14" i="3" s="1"/>
  <c r="K83" i="1"/>
  <c r="D83" i="3" s="1"/>
  <c r="K100" i="1"/>
  <c r="D100" i="3" s="1"/>
  <c r="K159" i="1"/>
  <c r="D159" i="3" s="1"/>
  <c r="K80" i="1"/>
  <c r="D80" i="3" s="1"/>
  <c r="K15" i="1"/>
  <c r="D15" i="3" s="1"/>
  <c r="K113" i="1"/>
  <c r="D113" i="3" s="1"/>
  <c r="K49" i="1"/>
  <c r="D49" i="3" s="1"/>
  <c r="K77" i="1"/>
  <c r="D77" i="3" s="1"/>
  <c r="K132" i="1"/>
  <c r="D132" i="3" s="1"/>
  <c r="K30" i="1"/>
  <c r="D30" i="3" s="1"/>
  <c r="K35" i="1"/>
  <c r="D35" i="3" s="1"/>
  <c r="K67" i="1"/>
  <c r="D67" i="3" s="1"/>
  <c r="K109" i="1"/>
  <c r="D109" i="3" s="1"/>
  <c r="K156" i="1"/>
  <c r="D156" i="3" s="1"/>
  <c r="K42" i="1"/>
  <c r="D42" i="3" s="1"/>
  <c r="K208" i="1"/>
  <c r="D208" i="3" s="1"/>
  <c r="K27" i="1"/>
  <c r="D27" i="3" s="1"/>
  <c r="K94" i="1"/>
  <c r="D94" i="3" s="1"/>
  <c r="K111" i="1"/>
  <c r="D111" i="3" s="1"/>
  <c r="K171" i="1"/>
  <c r="D171" i="3" s="1"/>
  <c r="K3" i="1"/>
  <c r="D3" i="3" s="1"/>
  <c r="K48" i="1"/>
  <c r="D48" i="3" s="1"/>
  <c r="K54" i="1"/>
  <c r="D54" i="3" s="1"/>
  <c r="K119" i="1"/>
  <c r="D119" i="3" s="1"/>
  <c r="K153" i="1"/>
  <c r="D153" i="3" s="1"/>
  <c r="K170" i="1"/>
  <c r="D170" i="3" s="1"/>
  <c r="K138" i="1"/>
  <c r="D138" i="3" s="1"/>
  <c r="K212" i="1"/>
  <c r="D212" i="3" s="1"/>
  <c r="K105" i="1"/>
  <c r="D105" i="3" s="1"/>
  <c r="K186" i="1"/>
  <c r="D186" i="3" s="1"/>
  <c r="K28" i="1"/>
  <c r="D28" i="3" s="1"/>
  <c r="K93" i="1"/>
  <c r="D93" i="3" s="1"/>
  <c r="K163" i="1"/>
  <c r="D163" i="3" s="1"/>
  <c r="K182" i="1"/>
  <c r="D182" i="3" s="1"/>
  <c r="K179" i="1"/>
  <c r="D179" i="3" s="1"/>
  <c r="K190" i="1"/>
  <c r="D190" i="3" s="1"/>
  <c r="K194" i="1"/>
  <c r="D194" i="3" s="1"/>
  <c r="K43" i="1"/>
  <c r="D43" i="3" s="1"/>
  <c r="K46" i="1"/>
  <c r="D46" i="3" s="1"/>
  <c r="K211" i="1"/>
  <c r="D211" i="3" s="1"/>
  <c r="K87" i="1"/>
  <c r="D87" i="3" s="1"/>
  <c r="K13" i="1"/>
  <c r="D13" i="3" s="1"/>
  <c r="K188" i="1"/>
  <c r="D188" i="3" s="1"/>
  <c r="K175" i="1"/>
  <c r="D175" i="3" s="1"/>
  <c r="K178" i="1"/>
  <c r="D178" i="3" s="1"/>
  <c r="K180" i="1"/>
  <c r="D180" i="3" s="1"/>
  <c r="K177" i="1"/>
  <c r="D177" i="3" s="1"/>
  <c r="K12" i="1"/>
  <c r="D12" i="3" s="1"/>
  <c r="K185" i="1"/>
  <c r="D185" i="3" s="1"/>
  <c r="K174" i="1"/>
  <c r="D174" i="3" s="1"/>
  <c r="K133" i="1"/>
  <c r="D133" i="3" s="1"/>
  <c r="K176" i="1"/>
  <c r="D176" i="3" s="1"/>
  <c r="K64" i="1"/>
  <c r="D64" i="3" s="1"/>
  <c r="K206" i="1"/>
  <c r="D206" i="3" s="1"/>
  <c r="K108" i="1"/>
  <c r="D108" i="3" s="1"/>
  <c r="K184" i="1"/>
  <c r="D184" i="3" s="1"/>
  <c r="K181" i="1"/>
  <c r="D181" i="3" s="1"/>
  <c r="K137" i="1"/>
  <c r="D137" i="3" s="1"/>
  <c r="K141" i="1"/>
  <c r="D141" i="3" s="1"/>
  <c r="K165" i="1"/>
  <c r="D165" i="3" s="1"/>
  <c r="K10" i="1"/>
  <c r="D10" i="3" s="1"/>
  <c r="K154" i="1"/>
  <c r="D154" i="3" s="1"/>
  <c r="K52" i="1"/>
  <c r="D52" i="3" s="1"/>
  <c r="K115" i="1"/>
  <c r="D115" i="3" s="1"/>
  <c r="K68" i="1"/>
  <c r="D68" i="3" s="1"/>
  <c r="K71" i="1"/>
  <c r="D71" i="3" s="1"/>
  <c r="K82" i="1"/>
  <c r="D82" i="3" s="1"/>
  <c r="K17" i="1"/>
  <c r="D17" i="3" s="1"/>
  <c r="K152" i="1"/>
  <c r="D152" i="3" s="1"/>
  <c r="K101" i="1"/>
  <c r="D101" i="3" s="1"/>
  <c r="K88" i="1"/>
  <c r="D88" i="3" s="1"/>
  <c r="K162" i="1"/>
  <c r="D162" i="3" s="1"/>
  <c r="K158" i="1"/>
  <c r="D158" i="3" s="1"/>
  <c r="K37" i="1"/>
  <c r="D37" i="3" s="1"/>
  <c r="K149" i="1"/>
  <c r="D149" i="3" s="1"/>
  <c r="K150" i="1"/>
  <c r="D150" i="3" s="1"/>
  <c r="K151" i="1"/>
  <c r="D151" i="3" s="1"/>
  <c r="K9" i="1"/>
  <c r="D9" i="3" s="1"/>
  <c r="K31" i="1"/>
  <c r="D31" i="3" s="1"/>
  <c r="K198" i="1"/>
  <c r="D198" i="3" s="1"/>
  <c r="K127" i="1"/>
  <c r="D127" i="3" s="1"/>
  <c r="K173" i="1"/>
  <c r="D173" i="3" s="1"/>
  <c r="K192" i="1"/>
  <c r="D192" i="3" s="1"/>
  <c r="K79" i="1"/>
  <c r="D79" i="3" s="1"/>
  <c r="K26" i="1"/>
  <c r="D26" i="3" s="1"/>
  <c r="K155" i="1"/>
  <c r="D155" i="3" s="1"/>
  <c r="K204" i="1"/>
  <c r="D204" i="3" s="1"/>
  <c r="K70" i="1"/>
  <c r="D70" i="3" s="1"/>
  <c r="K57" i="1"/>
  <c r="D57" i="3" s="1"/>
  <c r="K144" i="1"/>
  <c r="D144" i="3" s="1"/>
  <c r="K75" i="1"/>
  <c r="D75" i="3" s="1"/>
  <c r="K38" i="1"/>
  <c r="D38" i="3" s="1"/>
  <c r="K202" i="1"/>
  <c r="D202" i="3" s="1"/>
  <c r="K168" i="1"/>
  <c r="D168" i="3" s="1"/>
  <c r="K191" i="1"/>
  <c r="D191" i="3" s="1"/>
  <c r="K210" i="1"/>
  <c r="D210" i="3" s="1"/>
  <c r="K19" i="1"/>
  <c r="D19" i="3" s="1"/>
  <c r="K195" i="1"/>
  <c r="D195" i="3" s="1"/>
  <c r="K102" i="1"/>
  <c r="D102" i="3" s="1"/>
  <c r="K189" i="1"/>
  <c r="D189" i="3" s="1"/>
  <c r="K74" i="1"/>
  <c r="D74" i="3" s="1"/>
  <c r="K187" i="1"/>
  <c r="D187" i="3" s="1"/>
  <c r="K183" i="1"/>
  <c r="D183" i="3" s="1"/>
  <c r="K193" i="1"/>
  <c r="D193" i="3" s="1"/>
  <c r="K203" i="1"/>
  <c r="D203" i="3" s="1"/>
  <c r="K11" i="1"/>
  <c r="D11" i="3" s="1"/>
  <c r="K95" i="1"/>
  <c r="D95" i="3" s="1"/>
  <c r="K40" i="1"/>
  <c r="D40" i="3" s="1"/>
  <c r="K97" i="1"/>
  <c r="D97" i="3" s="1"/>
  <c r="K47" i="1"/>
  <c r="D47" i="3" s="1"/>
  <c r="K45" i="1"/>
  <c r="D45" i="3" s="1"/>
  <c r="K69" i="1"/>
  <c r="D69" i="3" s="1"/>
  <c r="K73" i="1"/>
  <c r="D73" i="3" s="1"/>
  <c r="K44" i="1"/>
  <c r="D44" i="3" s="1"/>
  <c r="K22" i="1"/>
  <c r="D22" i="3" s="1"/>
  <c r="K62" i="1"/>
  <c r="D62" i="3" s="1"/>
  <c r="K96" i="1"/>
  <c r="D96" i="3" s="1"/>
  <c r="K134" i="1"/>
  <c r="D134" i="3" s="1"/>
  <c r="K16" i="1"/>
  <c r="D16" i="3" s="1"/>
  <c r="K99" i="1"/>
  <c r="D99" i="3" s="1"/>
  <c r="K172" i="1"/>
  <c r="D172" i="3" s="1"/>
  <c r="K166" i="1"/>
  <c r="D166" i="3" s="1"/>
  <c r="K55" i="1"/>
  <c r="D55" i="3" s="1"/>
  <c r="K107" i="1"/>
  <c r="D107" i="3" s="1"/>
  <c r="K200" i="1"/>
  <c r="D200" i="3" s="1"/>
  <c r="K21" i="1"/>
  <c r="D21" i="3" s="1"/>
  <c r="K25" i="1"/>
  <c r="D25" i="3" s="1"/>
  <c r="K121" i="1"/>
  <c r="D121" i="3" s="1"/>
  <c r="K157" i="1"/>
  <c r="D157" i="3" s="1"/>
  <c r="K147" i="1"/>
  <c r="D147" i="3" s="1"/>
  <c r="K78" i="1"/>
  <c r="D78" i="3" s="1"/>
  <c r="K142" i="1"/>
  <c r="D142" i="3" s="1"/>
  <c r="K207" i="1"/>
  <c r="D207" i="3" s="1"/>
  <c r="K98" i="1"/>
  <c r="D98" i="3" s="1"/>
  <c r="K118" i="1"/>
  <c r="D118" i="3" s="1"/>
  <c r="K89" i="1"/>
  <c r="D89" i="3" s="1"/>
  <c r="K199" i="1"/>
  <c r="D199" i="3" s="1"/>
  <c r="K4" i="1"/>
  <c r="D4" i="3" s="1"/>
  <c r="K29" i="1"/>
  <c r="D29" i="3" s="1"/>
  <c r="K167" i="1"/>
  <c r="D167" i="3" s="1"/>
  <c r="K143" i="1"/>
  <c r="D143" i="3" s="1"/>
  <c r="K160" i="1"/>
  <c r="D160" i="3" s="1"/>
  <c r="K196" i="1"/>
  <c r="D196" i="3" s="1"/>
  <c r="K140" i="1"/>
  <c r="D140" i="3" s="1"/>
  <c r="K20" i="1"/>
  <c r="D20" i="3" s="1"/>
  <c r="K114" i="1"/>
  <c r="D114" i="3" s="1"/>
  <c r="K169" i="1"/>
  <c r="D169" i="3" s="1"/>
  <c r="K41" i="1"/>
  <c r="D41" i="3" s="1"/>
  <c r="K72" i="1"/>
  <c r="D72" i="3" s="1"/>
  <c r="K76" i="1"/>
  <c r="D76" i="3" s="1"/>
  <c r="K120" i="1"/>
  <c r="D120" i="3" s="1"/>
  <c r="K56" i="1"/>
  <c r="D56" i="3" s="1"/>
  <c r="K106" i="1"/>
  <c r="D106" i="3" s="1"/>
  <c r="K36" i="1"/>
  <c r="D36" i="3" s="1"/>
  <c r="K201" i="1"/>
  <c r="D201" i="3" s="1"/>
  <c r="K139" i="1"/>
  <c r="D139" i="3" s="1"/>
  <c r="K197" i="1"/>
  <c r="D197" i="3" s="1"/>
  <c r="K23" i="1"/>
  <c r="D23" i="3" s="1"/>
  <c r="K92" i="1"/>
  <c r="D92" i="3" s="1"/>
  <c r="K7" i="1"/>
  <c r="D7" i="3" s="1"/>
  <c r="K63" i="1"/>
  <c r="D63" i="3" s="1"/>
  <c r="K112" i="1"/>
  <c r="D112" i="3" s="1"/>
  <c r="K122" i="1"/>
  <c r="D122" i="3" s="1"/>
  <c r="K81" i="1"/>
  <c r="D81" i="3" s="1"/>
  <c r="K24" i="1"/>
  <c r="D24" i="3" s="1"/>
  <c r="K128" i="1"/>
  <c r="D128" i="3" s="1"/>
  <c r="K104" i="1"/>
  <c r="D104" i="3" s="1"/>
  <c r="K130" i="1"/>
  <c r="D130" i="3" s="1"/>
  <c r="K125" i="1"/>
  <c r="D125" i="3" s="1"/>
  <c r="K131" i="1"/>
  <c r="D131" i="3" s="1"/>
  <c r="K145" i="1"/>
  <c r="D145" i="3" s="1"/>
  <c r="K84" i="1"/>
  <c r="D84" i="3" s="1"/>
  <c r="K110" i="1"/>
  <c r="D110" i="3" s="1"/>
  <c r="K66" i="1"/>
  <c r="D66" i="3" s="1"/>
  <c r="K129" i="1"/>
  <c r="B2" i="3"/>
  <c r="P55" i="1"/>
  <c r="G55" i="3" s="1"/>
  <c r="P45" i="1"/>
  <c r="G45" i="3" s="1"/>
  <c r="P192" i="1"/>
  <c r="G192" i="3" s="1"/>
  <c r="P109" i="1"/>
  <c r="G109" i="3" s="1"/>
  <c r="P103" i="1"/>
  <c r="G103" i="3" s="1"/>
  <c r="P209" i="1"/>
  <c r="G209" i="3" s="1"/>
  <c r="P86" i="1"/>
  <c r="G86" i="3" s="1"/>
  <c r="P51" i="1"/>
  <c r="G51" i="3" s="1"/>
  <c r="I2" i="3"/>
  <c r="H3" i="3"/>
  <c r="J3" i="3" s="1"/>
  <c r="H4" i="3"/>
  <c r="J4" i="3" s="1"/>
  <c r="H5" i="3"/>
  <c r="J5" i="3" s="1"/>
  <c r="H6" i="3"/>
  <c r="J6" i="3" s="1"/>
  <c r="H7" i="3"/>
  <c r="J7" i="3" s="1"/>
  <c r="H8" i="3"/>
  <c r="J8" i="3" s="1"/>
  <c r="H9" i="3"/>
  <c r="J9" i="3" s="1"/>
  <c r="H10" i="3"/>
  <c r="J10" i="3" s="1"/>
  <c r="H11" i="3"/>
  <c r="J11" i="3" s="1"/>
  <c r="H12" i="3"/>
  <c r="J12" i="3" s="1"/>
  <c r="H13" i="3"/>
  <c r="J13" i="3" s="1"/>
  <c r="H14" i="3"/>
  <c r="J14" i="3" s="1"/>
  <c r="H15" i="3"/>
  <c r="J15" i="3" s="1"/>
  <c r="H16" i="3"/>
  <c r="J16" i="3" s="1"/>
  <c r="H17" i="3"/>
  <c r="J17" i="3" s="1"/>
  <c r="H18" i="3"/>
  <c r="J18" i="3" s="1"/>
  <c r="H19" i="3"/>
  <c r="J19" i="3" s="1"/>
  <c r="H20" i="3"/>
  <c r="J20" i="3" s="1"/>
  <c r="H21" i="3"/>
  <c r="J21" i="3" s="1"/>
  <c r="H22" i="3"/>
  <c r="J22" i="3" s="1"/>
  <c r="H23" i="3"/>
  <c r="J23" i="3" s="1"/>
  <c r="H24" i="3"/>
  <c r="J24" i="3" s="1"/>
  <c r="H25" i="3"/>
  <c r="J25" i="3" s="1"/>
  <c r="H26" i="3"/>
  <c r="J26" i="3" s="1"/>
  <c r="H27" i="3"/>
  <c r="J27" i="3" s="1"/>
  <c r="H28" i="3"/>
  <c r="J28" i="3" s="1"/>
  <c r="H29" i="3"/>
  <c r="J29" i="3" s="1"/>
  <c r="H30" i="3"/>
  <c r="J30" i="3" s="1"/>
  <c r="H31" i="3"/>
  <c r="J31" i="3" s="1"/>
  <c r="H32" i="3"/>
  <c r="J32" i="3" s="1"/>
  <c r="H33" i="3"/>
  <c r="J33" i="3" s="1"/>
  <c r="H34" i="3"/>
  <c r="J34" i="3" s="1"/>
  <c r="H35" i="3"/>
  <c r="J35" i="3" s="1"/>
  <c r="H36" i="3"/>
  <c r="J36" i="3" s="1"/>
  <c r="H37" i="3"/>
  <c r="J37" i="3" s="1"/>
  <c r="H38" i="3"/>
  <c r="J38" i="3" s="1"/>
  <c r="H39" i="3"/>
  <c r="J39" i="3" s="1"/>
  <c r="H40" i="3"/>
  <c r="J40" i="3" s="1"/>
  <c r="H41" i="3"/>
  <c r="J41" i="3" s="1"/>
  <c r="H42" i="3"/>
  <c r="J42" i="3" s="1"/>
  <c r="H43" i="3"/>
  <c r="J43" i="3" s="1"/>
  <c r="H44" i="3"/>
  <c r="J44" i="3" s="1"/>
  <c r="H45" i="3"/>
  <c r="J45" i="3" s="1"/>
  <c r="H46" i="3"/>
  <c r="J46" i="3" s="1"/>
  <c r="H47" i="3"/>
  <c r="J47" i="3" s="1"/>
  <c r="H48" i="3"/>
  <c r="J48" i="3" s="1"/>
  <c r="H49" i="3"/>
  <c r="J49" i="3" s="1"/>
  <c r="H50" i="3"/>
  <c r="J50" i="3" s="1"/>
  <c r="H51" i="3"/>
  <c r="J51" i="3" s="1"/>
  <c r="H52" i="3"/>
  <c r="J52" i="3" s="1"/>
  <c r="H53" i="3"/>
  <c r="J53" i="3" s="1"/>
  <c r="H54" i="3"/>
  <c r="J54" i="3" s="1"/>
  <c r="H55" i="3"/>
  <c r="J55" i="3" s="1"/>
  <c r="H56" i="3"/>
  <c r="J56" i="3" s="1"/>
  <c r="H57" i="3"/>
  <c r="J57" i="3" s="1"/>
  <c r="H58" i="3"/>
  <c r="J58" i="3" s="1"/>
  <c r="H59" i="3"/>
  <c r="J59" i="3" s="1"/>
  <c r="H61" i="3"/>
  <c r="J61" i="3" s="1"/>
  <c r="H62" i="3"/>
  <c r="J62" i="3" s="1"/>
  <c r="H63" i="3"/>
  <c r="J63" i="3" s="1"/>
  <c r="H64" i="3"/>
  <c r="J64" i="3" s="1"/>
  <c r="H65" i="3"/>
  <c r="J65" i="3" s="1"/>
  <c r="H66" i="3"/>
  <c r="J66" i="3" s="1"/>
  <c r="H67" i="3"/>
  <c r="J67" i="3" s="1"/>
  <c r="H68" i="3"/>
  <c r="J68" i="3" s="1"/>
  <c r="H69" i="3"/>
  <c r="J69" i="3" s="1"/>
  <c r="H70" i="3"/>
  <c r="J70" i="3" s="1"/>
  <c r="H71" i="3"/>
  <c r="J71" i="3" s="1"/>
  <c r="H72" i="3"/>
  <c r="J72" i="3" s="1"/>
  <c r="H73" i="3"/>
  <c r="J73" i="3" s="1"/>
  <c r="H74" i="3"/>
  <c r="J74" i="3" s="1"/>
  <c r="H75" i="3"/>
  <c r="J75" i="3" s="1"/>
  <c r="H76" i="3"/>
  <c r="J76" i="3" s="1"/>
  <c r="H77" i="3"/>
  <c r="J77" i="3" s="1"/>
  <c r="H78" i="3"/>
  <c r="J78" i="3" s="1"/>
  <c r="H79" i="3"/>
  <c r="J79" i="3" s="1"/>
  <c r="H80" i="3"/>
  <c r="J80" i="3" s="1"/>
  <c r="H81" i="3"/>
  <c r="J81" i="3" s="1"/>
  <c r="H82" i="3"/>
  <c r="J82" i="3" s="1"/>
  <c r="H83" i="3"/>
  <c r="J83" i="3" s="1"/>
  <c r="H84" i="3"/>
  <c r="J84" i="3" s="1"/>
  <c r="H85" i="3"/>
  <c r="J85" i="3" s="1"/>
  <c r="H86" i="3"/>
  <c r="J86" i="3" s="1"/>
  <c r="H87" i="3"/>
  <c r="J87" i="3" s="1"/>
  <c r="H88" i="3"/>
  <c r="J88" i="3" s="1"/>
  <c r="H89" i="3"/>
  <c r="J89" i="3" s="1"/>
  <c r="H90" i="3"/>
  <c r="J90" i="3" s="1"/>
  <c r="H92" i="3"/>
  <c r="J92" i="3" s="1"/>
  <c r="H93" i="3"/>
  <c r="J93" i="3" s="1"/>
  <c r="H94" i="3"/>
  <c r="J94" i="3" s="1"/>
  <c r="H95" i="3"/>
  <c r="J95" i="3" s="1"/>
  <c r="H96" i="3"/>
  <c r="J96" i="3" s="1"/>
  <c r="H97" i="3"/>
  <c r="J97" i="3" s="1"/>
  <c r="H98" i="3"/>
  <c r="J98" i="3" s="1"/>
  <c r="H99" i="3"/>
  <c r="J99" i="3" s="1"/>
  <c r="H100" i="3"/>
  <c r="J100" i="3" s="1"/>
  <c r="H101" i="3"/>
  <c r="J101" i="3" s="1"/>
  <c r="H102" i="3"/>
  <c r="J102" i="3" s="1"/>
  <c r="H103" i="3"/>
  <c r="J103" i="3" s="1"/>
  <c r="H104" i="3"/>
  <c r="J104" i="3" s="1"/>
  <c r="H105" i="3"/>
  <c r="J105" i="3" s="1"/>
  <c r="H106" i="3"/>
  <c r="J106" i="3" s="1"/>
  <c r="H107" i="3"/>
  <c r="J107" i="3" s="1"/>
  <c r="H108" i="3"/>
  <c r="J108" i="3" s="1"/>
  <c r="H109" i="3"/>
  <c r="J109" i="3" s="1"/>
  <c r="H110" i="3"/>
  <c r="J110" i="3" s="1"/>
  <c r="H111" i="3"/>
  <c r="J111" i="3" s="1"/>
  <c r="H112" i="3"/>
  <c r="J112" i="3" s="1"/>
  <c r="H113" i="3"/>
  <c r="J113" i="3" s="1"/>
  <c r="H114" i="3"/>
  <c r="J114" i="3" s="1"/>
  <c r="H115" i="3"/>
  <c r="J115" i="3" s="1"/>
  <c r="H116" i="3"/>
  <c r="J116" i="3" s="1"/>
  <c r="H117" i="3"/>
  <c r="J117" i="3" s="1"/>
  <c r="H118" i="3"/>
  <c r="J118" i="3" s="1"/>
  <c r="H119" i="3"/>
  <c r="J119" i="3" s="1"/>
  <c r="H120" i="3"/>
  <c r="J120" i="3" s="1"/>
  <c r="H121" i="3"/>
  <c r="J121" i="3" s="1"/>
  <c r="H122" i="3"/>
  <c r="J122" i="3" s="1"/>
  <c r="H123" i="3"/>
  <c r="J123" i="3" s="1"/>
  <c r="H124" i="3"/>
  <c r="J124" i="3" s="1"/>
  <c r="H125" i="3"/>
  <c r="J125" i="3" s="1"/>
  <c r="H126" i="3"/>
  <c r="J126" i="3" s="1"/>
  <c r="H127" i="3"/>
  <c r="J127" i="3" s="1"/>
  <c r="H128" i="3"/>
  <c r="J128" i="3" s="1"/>
  <c r="H129" i="3"/>
  <c r="J129" i="3" s="1"/>
  <c r="H130" i="3"/>
  <c r="J130" i="3" s="1"/>
  <c r="H131" i="3"/>
  <c r="J131" i="3" s="1"/>
  <c r="H132" i="3"/>
  <c r="J132" i="3" s="1"/>
  <c r="H133" i="3"/>
  <c r="J133" i="3" s="1"/>
  <c r="H134" i="3"/>
  <c r="J134" i="3" s="1"/>
  <c r="H135" i="3"/>
  <c r="J135" i="3" s="1"/>
  <c r="H136" i="3"/>
  <c r="J136" i="3" s="1"/>
  <c r="H137" i="3"/>
  <c r="J137" i="3" s="1"/>
  <c r="H138" i="3"/>
  <c r="J138" i="3" s="1"/>
  <c r="H139" i="3"/>
  <c r="J139" i="3" s="1"/>
  <c r="H140" i="3"/>
  <c r="J140" i="3" s="1"/>
  <c r="H141" i="3"/>
  <c r="J141" i="3" s="1"/>
  <c r="H142" i="3"/>
  <c r="J142" i="3" s="1"/>
  <c r="H143" i="3"/>
  <c r="J143" i="3" s="1"/>
  <c r="H144" i="3"/>
  <c r="J144" i="3" s="1"/>
  <c r="H145" i="3"/>
  <c r="J145" i="3" s="1"/>
  <c r="H146" i="3"/>
  <c r="J146" i="3" s="1"/>
  <c r="H147" i="3"/>
  <c r="J147" i="3" s="1"/>
  <c r="H148" i="3"/>
  <c r="J148" i="3" s="1"/>
  <c r="H149" i="3"/>
  <c r="J149" i="3" s="1"/>
  <c r="H151" i="3"/>
  <c r="J151" i="3" s="1"/>
  <c r="H152" i="3"/>
  <c r="J152" i="3" s="1"/>
  <c r="H153" i="3"/>
  <c r="J153" i="3" s="1"/>
  <c r="H154" i="3"/>
  <c r="J154" i="3" s="1"/>
  <c r="H155" i="3"/>
  <c r="J155" i="3" s="1"/>
  <c r="H156" i="3"/>
  <c r="J156" i="3" s="1"/>
  <c r="H157" i="3"/>
  <c r="J157" i="3" s="1"/>
  <c r="H158" i="3"/>
  <c r="J158" i="3" s="1"/>
  <c r="H159" i="3"/>
  <c r="J159" i="3" s="1"/>
  <c r="H160" i="3"/>
  <c r="J160" i="3" s="1"/>
  <c r="H161" i="3"/>
  <c r="J161" i="3" s="1"/>
  <c r="H162" i="3"/>
  <c r="J162" i="3" s="1"/>
  <c r="H163" i="3"/>
  <c r="J163" i="3" s="1"/>
  <c r="H164" i="3"/>
  <c r="J164" i="3" s="1"/>
  <c r="H165" i="3"/>
  <c r="J165" i="3" s="1"/>
  <c r="H166" i="3"/>
  <c r="J166" i="3" s="1"/>
  <c r="H167" i="3"/>
  <c r="J167" i="3" s="1"/>
  <c r="H168" i="3"/>
  <c r="J168" i="3" s="1"/>
  <c r="H169" i="3"/>
  <c r="J169" i="3" s="1"/>
  <c r="H170" i="3"/>
  <c r="J170" i="3" s="1"/>
  <c r="H171" i="3"/>
  <c r="J171" i="3" s="1"/>
  <c r="H172" i="3"/>
  <c r="J172" i="3" s="1"/>
  <c r="H173" i="3"/>
  <c r="J173" i="3" s="1"/>
  <c r="H174" i="3"/>
  <c r="J174" i="3" s="1"/>
  <c r="H175" i="3"/>
  <c r="J175" i="3" s="1"/>
  <c r="H176" i="3"/>
  <c r="J176" i="3" s="1"/>
  <c r="H177" i="3"/>
  <c r="J177" i="3" s="1"/>
  <c r="H178" i="3"/>
  <c r="J178" i="3" s="1"/>
  <c r="H179" i="3"/>
  <c r="J179" i="3" s="1"/>
  <c r="H180" i="3"/>
  <c r="J180" i="3" s="1"/>
  <c r="H181" i="3"/>
  <c r="J181" i="3" s="1"/>
  <c r="H182" i="3"/>
  <c r="J182" i="3" s="1"/>
  <c r="H183" i="3"/>
  <c r="J183" i="3" s="1"/>
  <c r="H184" i="3"/>
  <c r="J184" i="3" s="1"/>
  <c r="H185" i="3"/>
  <c r="J185" i="3" s="1"/>
  <c r="H186" i="3"/>
  <c r="J186" i="3" s="1"/>
  <c r="H187" i="3"/>
  <c r="J187" i="3" s="1"/>
  <c r="H188" i="3"/>
  <c r="J188" i="3" s="1"/>
  <c r="H189" i="3"/>
  <c r="J189" i="3" s="1"/>
  <c r="H190" i="3"/>
  <c r="J190" i="3" s="1"/>
  <c r="H191" i="3"/>
  <c r="J191" i="3" s="1"/>
  <c r="H192" i="3"/>
  <c r="J192" i="3" s="1"/>
  <c r="H193" i="3"/>
  <c r="J193" i="3" s="1"/>
  <c r="H194" i="3"/>
  <c r="J194" i="3" s="1"/>
  <c r="H195" i="3"/>
  <c r="J195" i="3" s="1"/>
  <c r="H196" i="3"/>
  <c r="J196" i="3" s="1"/>
  <c r="H197" i="3"/>
  <c r="J197" i="3" s="1"/>
  <c r="H198" i="3"/>
  <c r="J198" i="3" s="1"/>
  <c r="H199" i="3"/>
  <c r="J199" i="3" s="1"/>
  <c r="H200" i="3"/>
  <c r="J200" i="3" s="1"/>
  <c r="H201" i="3"/>
  <c r="J201" i="3" s="1"/>
  <c r="H202" i="3"/>
  <c r="J202" i="3" s="1"/>
  <c r="H204" i="3"/>
  <c r="J204" i="3" s="1"/>
  <c r="H205" i="3"/>
  <c r="J205" i="3" s="1"/>
  <c r="H206" i="3"/>
  <c r="J206" i="3" s="1"/>
  <c r="H207" i="3"/>
  <c r="J207" i="3" s="1"/>
  <c r="H208" i="3"/>
  <c r="J208" i="3" s="1"/>
  <c r="H209" i="3"/>
  <c r="J209" i="3" s="1"/>
  <c r="H210" i="3"/>
  <c r="J210" i="3" s="1"/>
  <c r="H211" i="3"/>
  <c r="J211" i="3" s="1"/>
  <c r="H212" i="3"/>
  <c r="J212" i="3" s="1"/>
  <c r="H213" i="3"/>
  <c r="J213" i="3" s="1"/>
  <c r="H214" i="3"/>
  <c r="J214" i="3" s="1"/>
  <c r="H215" i="3"/>
  <c r="J215" i="3" s="1"/>
  <c r="H2" i="3"/>
  <c r="J2" i="3" s="1"/>
  <c r="G2" i="3"/>
  <c r="F2" i="3"/>
  <c r="C2" i="3"/>
  <c r="E2" i="3" l="1"/>
  <c r="E129" i="3"/>
  <c r="D2" i="3"/>
  <c r="D129" i="3"/>
  <c r="A2" i="3"/>
</calcChain>
</file>

<file path=xl/sharedStrings.xml><?xml version="1.0" encoding="utf-8"?>
<sst xmlns="http://schemas.openxmlformats.org/spreadsheetml/2006/main" count="2133" uniqueCount="1367">
  <si>
    <t>Title</t>
  </si>
  <si>
    <t>Body (HTML)</t>
  </si>
  <si>
    <t>Type</t>
  </si>
  <si>
    <t>Tags</t>
  </si>
  <si>
    <t>Variant SKU</t>
  </si>
  <si>
    <t>Variant Price</t>
  </si>
  <si>
    <t>Image Src</t>
  </si>
  <si>
    <t>Image Alt Text</t>
  </si>
  <si>
    <t>Ribbon Message</t>
  </si>
  <si>
    <t>Accessories</t>
  </si>
  <si>
    <t>RIBBON</t>
  </si>
  <si>
    <t>https://cdn.shopify.com/s/files/1/0790/8529/products/CasketSprayRibbons140.jpg?v=1428518122</t>
  </si>
  <si>
    <t>Flower</t>
  </si>
  <si>
    <t>Flower Shop, Standing Arrangements, Wreaths</t>
  </si>
  <si>
    <t>TFWEB540</t>
  </si>
  <si>
    <t>Gentle Thoughts Spray</t>
  </si>
  <si>
    <t>&lt;p&gt;The pink and white flowers of this lovely spray will express your deepest sympathy ever so gently to all in attendance. One spray of pink carnations, white spray chrysanthemums and rose accents with a pink ribbon is delivered on an easel.&lt;/p&gt;_x000D_
&lt;p&gt;Approximately: 24" W x 42" H&lt;/p&gt;_x000D_
&lt;p&gt;Orientation: One-Sided&lt;/p&gt;_x000D_
&lt;p&gt;&lt;span style="color: #6aa84f;"&gt;&lt;strong&gt;Free Delivery!&lt;/strong&gt;&lt;/span&gt;&lt;/p&gt;</t>
  </si>
  <si>
    <t>Flower Shop, Standing Arrangements, Standing Sprays</t>
  </si>
  <si>
    <t>TF188-3</t>
  </si>
  <si>
    <t>https://cdn.shopify.com/s/files/1/0790/8529/products/T12Z102A.jpg?v=1427026933</t>
  </si>
  <si>
    <t>Friendship Rose Heart</t>
  </si>
  <si>
    <t>&lt;p&gt;This striking heart with its yellow roses expresses your friendship in a most memorable, heartfelt way.&lt;/p&gt;
&lt;p&gt;One foliage-covered heart on an easel arrives decorated with a cluster of yellow roses and purple statice accented with pink ribbons.&lt;/p&gt;
&lt;p&gt;Approximately 19" W x 22" H&lt;/p&gt;
&lt;p&gt;&lt;span style="color: #6aa84f;"&gt;&lt;strong&gt;Free Delivery!&lt;/strong&gt;&lt;/span&gt;&lt;/p&gt;</t>
  </si>
  <si>
    <t>Flower Shop, Hearts, Standing Arrangements</t>
  </si>
  <si>
    <t>TF204-1</t>
  </si>
  <si>
    <t>https://cdn.shopify.com/s/files/1/0790/8529/products/34949.jpg?v=1427026667</t>
  </si>
  <si>
    <t>Paradise Tribute Spray</t>
  </si>
  <si>
    <t>Bring a touch of exotic beauty to any timeless tribute with a fresh standing spray, and honor a lively spirit with bright tropical elements such as Birds of Paradise, Cymbidium orchids and ginger. A unique way to show how much you care.&lt;br&gt;&lt;br&gt;A standing spray of fresh flowers and tropical elements such as Asiatic lilies, orchids, Birds of Paradise, ginger, liatris, croton leaves and plumosus is delivered on an easel.&lt;br&gt;&lt;br&gt;Approximately: 22" W x 34" H (Dimensions do not include easel.)&lt;br&gt;&lt;br&gt;Orientation: One-Sided&lt;br&gt;&lt;br&gt;&lt;span style="color: #6aa84f;"&gt;&lt;strong&gt;Free Delivery!&lt;/strong&gt;&lt;/span&gt;</t>
  </si>
  <si>
    <t>TFWEB562</t>
  </si>
  <si>
    <t>https://cdn.shopify.com/s/files/1/0790/8529/products/260826.jpeg?v=1425992913</t>
  </si>
  <si>
    <t>(display image: Paradise Tribute Spray)</t>
  </si>
  <si>
    <t>Heartfelt Remembrance</t>
  </si>
  <si>
    <t>Two hearts together are a token of everlasting love and devotion; and this lovely standing spray in rich, complementary shades of dark purple and lavender will honor the departed with a sincere expression of your affection.&lt;br&gt;&lt;br&gt;A standing wreath of fresh flowers such as roses, cushion and button spray chrysanthemums and carnations in shades of dark purple and lavender, and adorned with a matching ribbon is delivered on an easel. &lt;br&gt;&lt;br&gt;Approximately 26" (W) x 22" (H) (Dimensions do not include easel.)&lt;br&gt;&lt;br&gt;Orientation: One-Sided&lt;br&gt;&lt;br&gt;&lt;span style="color: #6aa84f;"&gt;&lt;strong&gt;Free Delivery!&lt;/strong&gt;&lt;/span&gt;</t>
  </si>
  <si>
    <t>TFWEB542</t>
  </si>
  <si>
    <t>https://cdn.shopify.com/s/files/1/0790/8529/products/260138_c3b67686-230e-453b-ad7a-4ea02b167e51.jpeg?v=1425992912</t>
  </si>
  <si>
    <t>(display image: Heartfelt Remembrance)</t>
  </si>
  <si>
    <t>Picture of Heaven Spray</t>
  </si>
  <si>
    <t>A heavenly mix of fresh blooms in cool hues of green, purple and lavender is arranged into a picture-perfect wreath. Delivered on an easel, it's a modern take on a traditional standing spray and a charming tribute.&lt;br&gt;&lt;br&gt;A standing spray made of fresh flowers such as roses, hydrangea, gladioli, Dendrobium orchids, Bells of Ireland and lisianthus - in shades of green, purple and lavender - is delivered on an easel.&lt;br&gt;&lt;br&gt;Approximately: 20" W x 20" H (Dimensions do not include easel.)&lt;br&gt;&lt;br&gt;Orientation: One-Sided&lt;br&gt;&lt;br&gt;&lt;span style="color: #6aa84f;"&gt;&lt;strong&gt;Free Delivery!&lt;/strong&gt;&lt;/span&gt;</t>
  </si>
  <si>
    <t>https://cdn.shopify.com/s/files/1/0790/8529/products/260113.jpeg?v=1425992911</t>
  </si>
  <si>
    <t>(display image: Picture of Heaven Spray)</t>
  </si>
  <si>
    <t>Teleflora's Sincere Serenity</t>
  </si>
  <si>
    <t>A simple and elegant display of pure white blossoms such as roses, Asiatic lilies and carnations, presented in a classic urn, creates a serene and contemplative display. &lt;br&gt;&lt;br&gt;A traditional choice for any service or wake. A mix of fresh white flowers such as Asiatic lilies, roses and carnations - accented with eucalyptus - is delivered in a Teleflora Noble Heritage urn.&lt;br&gt;&lt;br&gt;Approximately: 24" W x 26" H &lt;br&gt;&lt;br&gt;Orientation: One-Sided&lt;br&gt;&lt;br&gt;&lt;span style="color: #6aa84f;"&gt;&lt;strong&gt;Free Delivery!&lt;/strong&gt;&lt;/span&gt;</t>
  </si>
  <si>
    <t>Flower Shop, Funeral Baskets, Sympathy Flowers</t>
  </si>
  <si>
    <t>TFWEB532DX</t>
  </si>
  <si>
    <t>https://cdn.shopify.com/s/files/1/0790/8529/products/260108.png?v=1428888623</t>
  </si>
  <si>
    <t>So Stylish</t>
  </si>
  <si>
    <t>Dazzle someone stylish with this spectacular arrangement of fresh flowers including pink roses, lilies and peonies, purple orchids, green hydrangea and more, arranged in a cylindrical glass vase. It's a charming bouquet that's just right for any fashionable friend.&lt;br&gt;&lt;br&gt;Hot pink roses, spray roses, ranunculus and peonies, purple cymbidium orchids, pink Oriental lilies, lavender stock and green hydrangea - accented with seeded eucalyptus and black pittosporum - are delivered in a clear glass cylinder vase.&lt;br&gt;&lt;br&gt;Approximately: 16" W x 16" H&lt;br&gt;&lt;br&gt;&lt;span style="color: #6aa84f;"&gt;&lt;strong&gt;Free Delivery!&lt;/strong&gt;&lt;/span&gt;</t>
  </si>
  <si>
    <t>Floral Vases, Flower Shop, For Home, Sympathy Flowers</t>
  </si>
  <si>
    <t>TFWEB150</t>
  </si>
  <si>
    <t>https://cdn.shopify.com/s/files/1/0790/8529/products/163835.jpeg?v=1425992908</t>
  </si>
  <si>
    <t>(display image: So Stylish)</t>
  </si>
  <si>
    <t>Sweet Symphony</t>
  </si>
  <si>
    <t>A mix of fresh flowers in pretty shades of pink, red, white and purple creates a sweet symphony of color in this stunning bouquet that includes roses, lilies, tulips and more... and is over two feet tall! The perfect choice when you want to create a sensation.&lt;br&gt;&lt;br&gt;Pink Oriental lilies, tulips, larkspur and gerberas, lavender and red roses, white hydrangea, hot pink ranunculus, purple Monte Cassino asters and stock, plus salal, are arranged in a clear glass hurricane vase.&lt;br&gt;&lt;br&gt;Approximately: 24" W x 25" H&lt;br&gt;&lt;br&gt;Orientation: All-Around&lt;br&gt;&lt;br&gt;&lt;span style="color: #6aa84f;"&gt;&lt;strong&gt;Free Delivery!&lt;/strong&gt;&lt;/span&gt;</t>
  </si>
  <si>
    <t>TFWEB140</t>
  </si>
  <si>
    <t>https://cdn.shopify.com/s/files/1/0790/8529/products/159154.jpeg?v=1425992907</t>
  </si>
  <si>
    <t>(display image: Sweet Symphony)</t>
  </si>
  <si>
    <t>Royal Radiance</t>
  </si>
  <si>
    <t>Make an impression with a big, dramatic bouquet of roses, peonies, lilies, tulips and more, in radiant shades of pink and purple. It's a remarkable gift that will be remembered forever.&lt;br&gt;&lt;br&gt;Pink roses, snapdragons, Oriental lilies and heather, hot pink peonies, light pink tulips and green hydrangea - plus purple tulips, hydrangea and stock - are delivered in a clear glass hurricane vase.&lt;br&gt;&lt;br&gt;Approximately: 19" W x 22" H&lt;br&gt;&lt;br&gt;Orientation: All-Around&lt;br&gt;&lt;br&gt;&lt;span style="color: #6aa84f;"&gt;&lt;strong&gt;Free Delivery!&lt;/strong&gt;&lt;/span&gt;</t>
  </si>
  <si>
    <t>TFWEB132</t>
  </si>
  <si>
    <t>https://cdn.shopify.com/s/files/1/0790/8529/products/159149.jpeg?v=1425992906</t>
  </si>
  <si>
    <t>(display image: Royal Radiance)</t>
  </si>
  <si>
    <t>Heavenly Heart</t>
  </si>
  <si>
    <t>This lovely heart shows friends and loved ones just how great your love will always be.&lt;br&gt;&lt;br&gt;One solid-flower heart arrives on an easel decorated with nosegay of pink, white and blue flowers mounted in the center.&lt;br&gt;&lt;br&gt;Approximately: 14" W x 18" H&lt;br&gt;&lt;br&gt;Orientation: One-Sided&lt;br&gt;&lt;br&gt;&lt;span style="color: #6aa84f;"&gt;&lt;strong&gt;Free Delivery!&lt;/strong&gt;&lt;/span&gt;</t>
  </si>
  <si>
    <t>TF220-3</t>
  </si>
  <si>
    <t>https://cdn.shopify.com/s/files/1/0790/8529/products/35004.jpeg?v=1425992905</t>
  </si>
  <si>
    <t>(display image: Heavenly Heart)</t>
  </si>
  <si>
    <t>Forever Yours</t>
  </si>
  <si>
    <t>This gorgeous solid-flower heart, made of bright red carnations, reminds us all that love is eternal.&lt;br&gt;&lt;br&gt;One open-center heart arrives on an easel covered with red carnations accented with curly willow and eucalyptus.&lt;br&gt;&lt;br&gt;Approximately 21" W x 28" H&lt;br&gt;&lt;br&gt;Orientation: One-Sided&lt;br&gt;&lt;br&gt;&lt;span style="color: #6aa84f;"&gt;&lt;strong&gt;Free Delivery!&lt;/strong&gt;&lt;/span&gt;</t>
  </si>
  <si>
    <t>TF217-3</t>
  </si>
  <si>
    <t>https://cdn.shopify.com/s/files/1/0790/8529/products/34993.jpeg?v=1425992903</t>
  </si>
  <si>
    <t>(display image: Forever Yours)</t>
  </si>
  <si>
    <t>Tropical Paradise Spray</t>
  </si>
  <si>
    <t>This tropical flower spray will touch loved ones with the promise of a new day.&lt;br&gt;&lt;br&gt;One spray arrives on an easel with pink ginger, purple dendrobium orchids and a single king protea.&lt;br&gt;&lt;br&gt;Approximately: 24" W x 53" H&lt;br&gt;&lt;br&gt;Orientation: One-Sided&lt;br&gt;&lt;br&gt;&lt;span style="color: #6aa84f;"&gt;&lt;strong&gt;Free Delivery!&lt;/strong&gt;&lt;/span&gt;</t>
  </si>
  <si>
    <t>TF213-3</t>
  </si>
  <si>
    <t>https://cdn.shopify.com/s/files/1/0790/8529/products/34984.jpeg?v=1425992902</t>
  </si>
  <si>
    <t>(display image: Tropical Paradise Spray)</t>
  </si>
  <si>
    <t>Brighter Blessings Spray</t>
  </si>
  <si>
    <t>This spray offers an array of bright yellow flowers in tribute to a joyous life.&lt;br&gt;&lt;br&gt;One standing spray arrives on an easel with yellow alstroemeria, carnations, chrysanthemums and gerberas.&lt;br&gt;&lt;br&gt;Approximately: 24" W x 55" H&lt;br&gt;&lt;br&gt;Orientation: One-Sided&lt;br&gt;&lt;br&gt;&lt;span style="color: #6aa84f;"&gt;&lt;strong&gt;Free Delivery!&lt;/strong&gt;&lt;/span&gt;</t>
  </si>
  <si>
    <t>TF211-2</t>
  </si>
  <si>
    <t>https://cdn.shopify.com/s/files/1/0790/8529/products/34978.jpeg?v=1425992901</t>
  </si>
  <si>
    <t>(display image: Brighter Blessings Spray)</t>
  </si>
  <si>
    <t>Broken Heart</t>
  </si>
  <si>
    <t>Your friends and loved ones will understand exactly how you feel when they see this powerful wreath signifying a broken heart.&lt;br&gt;&lt;br&gt;One heart-shaped design arrives covered with white chrysanthemums, accented with a break of red roses. The heart is delivered on an easel.&lt;br&gt;&lt;br&gt;Approximately: 21" W x 24" H&lt;br&gt;&lt;br&gt;Orientation: One-Sided&lt;br&gt;&lt;br&gt;&lt;span style="color: #6aa84f;"&gt;&lt;strong&gt;Free Delivery!&lt;/strong&gt;&lt;/span&gt;</t>
  </si>
  <si>
    <t>TF208-3</t>
  </si>
  <si>
    <t>https://cdn.shopify.com/s/files/1/0790/8529/products/34969.jpeg?v=1425992900</t>
  </si>
  <si>
    <t>(display image: Broken Heart)</t>
  </si>
  <si>
    <t>Cherished Moments Spray</t>
  </si>
  <si>
    <t>Show your loved ones just how much you cherish all the moments with this beautiful spray&lt;br&gt;&lt;br&gt;One spray on an easel arrives decorated with white gladioli, snapdragons and stock, accented with red carnations.&lt;br&gt;&lt;br&gt;Approximately: 31" W x 45" H&lt;br&gt;&lt;br&gt;Orientation: One-Sided&lt;br&gt;&lt;br&gt;&lt;span style="color: #6aa84f;"&gt;&lt;strong&gt;Free Delivery!&lt;/strong&gt;&lt;/span&gt;</t>
  </si>
  <si>
    <t>TF207-7</t>
  </si>
  <si>
    <t>https://cdn.shopify.com/s/files/1/0790/8529/products/34965.jpeg?v=1425992898</t>
  </si>
  <si>
    <t>(display image: Cherished Moments Spray)</t>
  </si>
  <si>
    <t>Red Regards Wreath</t>
  </si>
  <si>
    <t>This simple, yet stylish wreath shows the depth of your love and support.&lt;br&gt;&lt;br&gt;One wreath on an easel arrives with red carnations and roses, along with decorative natural foliage.&lt;br&gt;&lt;br&gt;Approximately: 19" Diameter&lt;br&gt;&lt;br&gt;&lt;span style="color: #6aa84f;"&gt;&lt;strong&gt;Free Delivery!&lt;/strong&gt;&lt;/span&gt;</t>
  </si>
  <si>
    <t>TF207-3</t>
  </si>
  <si>
    <t>https://cdn.shopify.com/s/files/1/0790/8529/products/34961.jpeg?v=1425992897</t>
  </si>
  <si>
    <t>(display image: Red Regards Wreath)</t>
  </si>
  <si>
    <t>Hope and Honor Wreath</t>
  </si>
  <si>
    <t>This vivid red and white wreath honors a loved one by sharing a timeless message of hope.&lt;br&gt;&lt;br&gt;Red and white carnations cover the circular wreath mounted on an easel.&lt;br&gt;&lt;br&gt;Approximately: 25" Diameter&lt;br&gt;&lt;br&gt;&lt;span style="color: #6aa84f;"&gt;&lt;strong&gt;Free Delivery!&lt;/strong&gt;&lt;/span&gt;</t>
  </si>
  <si>
    <t>TF207-2</t>
  </si>
  <si>
    <t>https://cdn.shopify.com/s/files/1/0790/8529/products/34960.jpeg?v=1425992896</t>
  </si>
  <si>
    <t>(display image: Hope and Honor Wreath)</t>
  </si>
  <si>
    <t>Hope and Honor Cross</t>
  </si>
  <si>
    <t>This striking red and white cross honors your loved one in a faithful way. One white chrysanthemum solid-flower cross on an easel arrives decorated with a cluster of red carnations.&lt;br&gt;&lt;br&gt;Approximately: 26" W x 35" H &lt;br&gt;&lt;br&gt;Orientation: One-Sided&lt;br&gt;&lt;br&gt;&lt;span style="color: #6aa84f;"&gt;&lt;strong&gt;Free Delivery!&lt;/strong&gt;&lt;/span&gt;</t>
  </si>
  <si>
    <t>Crosses, Flower Shop, Standing Arrangements</t>
  </si>
  <si>
    <t>TF206-4</t>
  </si>
  <si>
    <t>https://cdn.shopify.com/s/files/1/0790/8529/products/34958.jpeg?v=1425992895</t>
  </si>
  <si>
    <t>(display image: Hope and Honor Cross)</t>
  </si>
  <si>
    <t>Red Regards Spray</t>
  </si>
  <si>
    <t>With its bright red carnations, gladioli and roses, your sympathy will be shown most passionately.&lt;br&gt;&lt;br&gt;One standing spray arrives on an easel decorated with red carnations, gladioli and roses with crimson red streamers.&lt;br&gt;&lt;br&gt;Approximately: 28" W x 60" H&lt;br&gt;&lt;br&gt;Orientation: One-Sided&lt;br&gt;&lt;br&gt;&lt;span style="color: #6aa84f;"&gt;&lt;strong&gt;Free Delivery!&lt;/strong&gt;&lt;/span&gt;</t>
  </si>
  <si>
    <t>TF206-2</t>
  </si>
  <si>
    <t>https://cdn.shopify.com/s/files/1/0790/8529/products/34956.jpeg?v=1425992894</t>
  </si>
  <si>
    <t>(display image: Red Regards Spray)</t>
  </si>
  <si>
    <t>Hope and Honor Basket</t>
  </si>
  <si>
    <t>This arrangement with its red and white carnations honors friends and loved ones with classic style. One arrangement arrives with a classic mixture of red and white carnations in a traditional white funeral basket.&lt;br&gt;&lt;br&gt;Approximately: 28" W x 33" H &lt;br&gt;&lt;br&gt;Orientation: One-Sided&lt;br&gt;&lt;br&gt;&lt;span style="color: #6aa84f;"&gt;&lt;strong&gt;Free Delivery!&lt;/strong&gt;&lt;/span&gt;</t>
  </si>
  <si>
    <t>TF206-1</t>
  </si>
  <si>
    <t>https://cdn.shopify.com/s/files/1/0790/8529/products/34955.jpeg?v=1425992893</t>
  </si>
  <si>
    <t>(display image: Hope and Honor Basket)</t>
  </si>
  <si>
    <t>Birch Compassion Cross</t>
  </si>
  <si>
    <t>A natural birch cross decorated with colorful flowers offers faith and compassion in a simple, yet beautiful way.&lt;br&gt;&lt;br&gt; One natural birch cross on an easel arrives with a cluster of vibrant fresh flowers including asters, roses and delphinium.&lt;br&gt;&lt;br&gt;Approximately: 36" W x 51" H &lt;br&gt;&lt;br&gt;Orientation: One-Sided&lt;br&gt;&lt;br&gt;&lt;span style="color: #6aa84f;"&gt;&lt;strong&gt;Free Delivery!&lt;/strong&gt;&lt;/span&gt;</t>
  </si>
  <si>
    <t>TF203-4</t>
  </si>
  <si>
    <t>https://cdn.shopify.com/s/files/1/0790/8529/products/34941.jpeg?v=1425992891</t>
  </si>
  <si>
    <t>(display image: Birch Compassion Cross)</t>
  </si>
  <si>
    <t>Celebration Wreath</t>
  </si>
  <si>
    <t>This beautiful wreath with its distinctive orange, yellow and blue flowers, will offer your regards in the warmest way.&lt;br&gt;&lt;br&gt;One wreath arrives on a easel filled with orange roses, yellow spray chrysanthemums, blue hydrangea, red amaranthus and purple asters.&lt;br&gt;&lt;br&gt;Approximately: 15" Diameter&lt;br&gt;&lt;br&gt;&lt;span style="color: #6aa84f;"&gt;&lt;strong&gt;Free Delivery!&lt;/strong&gt;&lt;/span&gt;</t>
  </si>
  <si>
    <t>TF203-10</t>
  </si>
  <si>
    <t>https://cdn.shopify.com/s/files/1/0790/8529/products/34947.jpeg?v=1425992890</t>
  </si>
  <si>
    <t>(display image: Celebration Wreath)</t>
  </si>
  <si>
    <t>Graceful Tribute Heart</t>
  </si>
  <si>
    <t>This heart-shaped spray with its purple and blue flowers lovingly graces the service.&lt;br&gt;&lt;br&gt;Each heart-shaped tribute is covered with lavender roses, blue iris and hydrangea and purple chrysanthemums and arrives on an easel.&lt;br&gt;&lt;br&gt;Approximately 20" W x 20" H&lt;br&gt;&lt;br&gt;Orientation: One-Sided&lt;br&gt;&lt;br&gt;&lt;span style="color: #6aa84f;"&gt;&lt;strong&gt;Free Delivery!&lt;/strong&gt;&lt;/span&gt;</t>
  </si>
  <si>
    <t>TF201-2</t>
  </si>
  <si>
    <t>https://cdn.shopify.com/s/files/1/0790/8529/products/34932.jpeg?v=1425992889</t>
  </si>
  <si>
    <t>(display image: Graceful Tribute Heart)</t>
  </si>
  <si>
    <t>Loving Heart Tribute</t>
  </si>
  <si>
    <t>This lovely heart-shaped design will leave no doubt just how much love you want to show family and loved ones.&lt;br&gt;&lt;br&gt;Each spray is created with lavender chrysanthemums, white daisies, yellow alstroemeria, pink asters and spray roses, delivered on an easel.&lt;br&gt;&lt;br&gt;Approximately 22" W x 22" H&lt;br&gt;&lt;br&gt;Orientation: One-Sided&lt;br&gt;&lt;br&gt;&lt;span style="color: #6aa84f;"&gt;&lt;strong&gt;Free Delivery!&lt;/strong&gt;&lt;/span&gt;</t>
  </si>
  <si>
    <t>TF199-4</t>
  </si>
  <si>
    <t>https://cdn.shopify.com/s/files/1/0790/8529/products/34922.jpeg?v=1425992888</t>
  </si>
  <si>
    <t>(display image: Loving Heart Tribute)</t>
  </si>
  <si>
    <t>Respectful Pink Wreath</t>
  </si>
  <si>
    <t>This wreath is created with delicate pink and peach blossoms to show your sincere respects in a remarkable way. &lt;br&gt;&lt;br&gt;One solid flower wreath features roses, carnations, asters and alstroemeria with soft foliage and showers of ribbon on an easel.&lt;br&gt;&lt;br&gt;Approximately: 27" Diameter&lt;br&gt;&lt;br&gt;&lt;span style="color: #6aa84f;"&gt;&lt;strong&gt;Free Delivery!&lt;/strong&gt;&lt;/span&gt;</t>
  </si>
  <si>
    <t>TF199-3A</t>
  </si>
  <si>
    <t>https://cdn.shopify.com/s/files/1/0790/8529/products/34921.jpeg?v=1425992886</t>
  </si>
  <si>
    <t>(display image: Respectful Pink Wreath)</t>
  </si>
  <si>
    <t>Classic Carnation Arrangement</t>
  </si>
  <si>
    <t>Just how much you care will be so very clear when you send this lovely arrangement full of pink carnations.&lt;br&gt;&lt;br&gt;One fan-shaped design of light and dark pink carnations with complementing foliage and a pink ribbon is delivered in a traditional container.&lt;br&gt;&lt;br&gt;Approximately: 32" W x 30" H &lt;br&gt;&lt;br&gt;Orientation: One-Sided&lt;br&gt;&lt;br&gt;&lt;span style="color: #6aa84f;"&gt;&lt;strong&gt;Free Delivery!&lt;/strong&gt;&lt;/span&gt;</t>
  </si>
  <si>
    <t>TF198-3</t>
  </si>
  <si>
    <t>https://cdn.shopify.com/s/files/1/0790/8529/products/34917.jpeg?v=1425992885</t>
  </si>
  <si>
    <t>(display image: Classic Carnation Arrangement)</t>
  </si>
  <si>
    <t>Pink Bouquet Cross</t>
  </si>
  <si>
    <t>The cross is a great source of comfort and hope. This one, covered with moss and accented with pink and peach flowers, offers your loving support to all. The moss-covered cross features a diagonal swag of peach roses and pink carnations, and is delivered on an easel.&lt;br&gt;&lt;br&gt;Approximately: 20" W x 30" H &lt;br&gt;&lt;br&gt;Orientation: One-Sided&lt;br&gt;&lt;br&gt;&lt;span style="color: #6aa84f;"&gt;&lt;strong&gt;Free Delivery!&lt;/strong&gt;&lt;/span&gt;</t>
  </si>
  <si>
    <t>TF198-2</t>
  </si>
  <si>
    <t>https://cdn.shopify.com/s/files/1/0790/8529/products/34916.jpeg?v=1425992884</t>
  </si>
  <si>
    <t>(display image: Pink Bouquet Cross)</t>
  </si>
  <si>
    <t>Gentle Comfort Basket</t>
  </si>
  <si>
    <t>If you really want to send comfort, this basket with its lavender roses, blue delphinium and lavender asters has a warm, gentle touch.&lt;br&gt;&lt;br&gt;One arrangement arrives with a harmonious blend of asters, delphinium, heather, iris and roses in a natural basket.&lt;br&gt;&lt;br&gt;Approximately 22" W x 25-1/2" H&lt;br&gt;&lt;br&gt;Orientation: One-Sided&lt;br&gt;&lt;br&gt;&lt;span style="color: #6aa84f;"&gt;&lt;strong&gt;Free Delivery!&lt;/strong&gt;&lt;/span&gt;</t>
  </si>
  <si>
    <t>Floral Baskets, Flower Shop, Sympathy Flowers</t>
  </si>
  <si>
    <t>TF190-2</t>
  </si>
  <si>
    <t>https://cdn.shopify.com/s/files/1/0790/8529/products/34896.jpeg?v=1425992881</t>
  </si>
  <si>
    <t>(display image: Gentle Comfort Basket)</t>
  </si>
  <si>
    <t>Stargazer Lily and Gerbera Spray</t>
  </si>
  <si>
    <t>This luxurious spray of red gerberas and stargazer lilies is sure to light the way to the path of hope.&lt;br&gt;&lt;br&gt;One spray with stargazer lilies, red gerberas and lavender stock is delivered on an easel.&lt;br&gt;&lt;br&gt;Approximately: 21" W x 41" H&lt;br&gt;&lt;br&gt;Orientation: One-Sided&lt;br&gt;&lt;br&gt;&lt;span style="color: #6aa84f;"&gt;&lt;strong&gt;Free Delivery!&lt;/strong&gt;&lt;/span&gt;</t>
  </si>
  <si>
    <t>TF189-6</t>
  </si>
  <si>
    <t>https://cdn.shopify.com/s/files/1/0790/8529/products/34892.jpeg?v=1425992880</t>
  </si>
  <si>
    <t>(display image: Stargazer Lily and Gerbera Spray)</t>
  </si>
  <si>
    <t>Shining Sentiments Spray</t>
  </si>
  <si>
    <t>This warm and wonderful spray with its yellow sunflowers and gerberas seemingly shines with hope and comfort to friends and loved ones.&lt;br&gt;&lt;br&gt;One spray of yellow sunflowers and gerberas, along with curly willow and decorative foliage, is delivered on an easel.&lt;br&gt;&lt;br&gt;Approximately: 30" W x 45" H&lt;br&gt;&lt;br&gt;Orientation: One-Sided&lt;br&gt;&lt;br&gt;&lt;span style="color: #6aa84f;"&gt;&lt;strong&gt;Free Delivery!&lt;/strong&gt;&lt;/span&gt;</t>
  </si>
  <si>
    <t>TF189-5</t>
  </si>
  <si>
    <t>https://cdn.shopify.com/s/files/1/0790/8529/products/34891.jpeg?v=1425992879</t>
  </si>
  <si>
    <t>(display image: Shining Sentiments Spray)</t>
  </si>
  <si>
    <t>Hope and Harmony Spray</t>
  </si>
  <si>
    <t>If you want to send a message of hope, this lovely spray with its pink, yellow and lavender flowers sends it harmoniously. One spray of pink carnations, peach gerberas, yellow gladioli, blue iris and lavender Monte Cassino asters is delivered on an easel.&lt;br&gt;&lt;br&gt;Approximately: 34" W x 44" H&lt;br&gt;&lt;br&gt;&lt;span style="color: #6aa84f;"&gt;&lt;strong&gt;Free Delivery!&lt;/strong&gt;&lt;/span&gt;</t>
  </si>
  <si>
    <t>TF189-3A</t>
  </si>
  <si>
    <t>https://cdn.shopify.com/s/files/1/0790/8529/products/34889.jpeg?v=1425992877</t>
  </si>
  <si>
    <t>(display image: Hope and Harmony Spray)</t>
  </si>
  <si>
    <t>Sentimental Gladioli Spray</t>
  </si>
  <si>
    <t>This lovely spray of pink and peach gladioli will express your loving sentiments in a most generous way.&lt;br&gt;&lt;br&gt;One spray combines pink and peach gladioli, and is tied with a pink satin ribbon.&lt;br&gt;&lt;br&gt;Approximately: 27" W x 48" H&lt;br&gt;&lt;br&gt;Orientation: One-Sided&lt;br&gt;&lt;br&gt;&lt;span style="color: #6aa84f;"&gt;&lt;strong&gt;Free Delivery!&lt;/strong&gt;&lt;/span&gt;</t>
  </si>
  <si>
    <t>TF189-2</t>
  </si>
  <si>
    <t>https://cdn.shopify.com/s/files/1/0790/8529/products/34888.jpeg?v=1425992876</t>
  </si>
  <si>
    <t>(display image: Sentimental Gladioli Spray)</t>
  </si>
  <si>
    <t>White Promises Spray</t>
  </si>
  <si>
    <t>This traditional spray, filled with white carnations, chrysanthemums and gladioli, makes the promise that love is eternal.&lt;br&gt;&lt;br&gt;One spray, decorated with white carnations, chrysanthemums and gladioli, is accented with rich green foliage and is delivered on an easel.&lt;br&gt;&lt;br&gt;Approximately: 32" W x 48" H&lt;br&gt;&lt;br&gt;Orientation: One-Sided&lt;br&gt;&lt;br&gt;&lt;span style="color: #6aa84f;"&gt;&lt;strong&gt;Free Delivery!&lt;/strong&gt;&lt;/span&gt;</t>
  </si>
  <si>
    <t>TF188-2</t>
  </si>
  <si>
    <t>https://cdn.shopify.com/s/files/1/0790/8529/products/34885.jpeg?v=1425992875</t>
  </si>
  <si>
    <t>(display image: White Promises Spray)</t>
  </si>
  <si>
    <t>Fireside Basket</t>
  </si>
  <si>
    <t>What more heartfelt way to express your sorrow than with this fireside basket filled with flowers? One arrangement with red carnations, white chrysanthemums and stock, along with eucalyptus and fern, is delivered in a willow fireside basket.&lt;br&gt;&lt;br&gt;Approximately: 31" W x 26" H &lt;br&gt;&lt;br&gt;Orientation: One-Sided&lt;br&gt;&lt;br&gt;&lt;span style="color: #6aa84f;"&gt;&lt;strong&gt;Free Delivery!&lt;/strong&gt;&lt;/span&gt;</t>
  </si>
  <si>
    <t>Floral Baskets, Flower Shop, For Home, Sympathy Flowers</t>
  </si>
  <si>
    <t>TF187-8</t>
  </si>
  <si>
    <t>https://cdn.shopify.com/s/files/1/0790/8529/products/34883.jpeg?v=1425992874</t>
  </si>
  <si>
    <t>(display image: Fireside Basket)</t>
  </si>
  <si>
    <t>White Simplicity Basket</t>
  </si>
  <si>
    <t>If you want send your warmest thoughts to show how much you care, this lovely arrangement with its white carnations sends your thoughts compassionately. &lt;br&gt;&lt;br&gt;One arrangement with white carnations and decorative foliage is delivered in a natural-textured basket.&lt;br&gt;&lt;br&gt;Approximately: 24" W x 34" H &lt;br&gt;&lt;br&gt;Orientation: One-Sided&lt;br&gt;&lt;br&gt;&lt;span style="color: #6aa84f;"&gt;&lt;strong&gt;Free Delivery!&lt;/strong&gt;&lt;/span&gt;</t>
  </si>
  <si>
    <t>TF186-3</t>
  </si>
  <si>
    <t>https://cdn.shopify.com/s/files/1/0790/8529/products/34875.jpeg?v=1425992872</t>
  </si>
  <si>
    <t>(display image: White Simplicity Basket)</t>
  </si>
  <si>
    <t>Spring Remembrance Basket</t>
  </si>
  <si>
    <t>This beautiful arrangement with its uplifting spring-colored flowers is perfect to send a message of hope. A touching selection for the service. &lt;br&gt;&lt;br&gt;One arrangement with pink gladioli and carnations, lavender stock, white Monte Cassino asters, purple and yellow and chrysanthemums is delivered in a funeral basket with handle.&lt;br&gt;&lt;br&gt;Approximately: 23" W x 33" H &lt;br&gt;&lt;br&gt;Orientation: One-Sided&lt;br&gt;&lt;br&gt;&lt;span style="color: #6aa84f;"&gt;&lt;strong&gt;Free Delivery!&lt;/strong&gt;&lt;/span&gt;</t>
  </si>
  <si>
    <t>TF186-1</t>
  </si>
  <si>
    <t>https://cdn.shopify.com/s/files/1/0790/8529/products/34873.jpeg?v=1425992871</t>
  </si>
  <si>
    <t>(display image: Spring Remembrance Basket)</t>
  </si>
  <si>
    <t>Warm Thoughts Arrangement</t>
  </si>
  <si>
    <t>This pastel arrangement will express your sympathy and lovingly show your warm thoughts. One arrangement with pink carnations, yellow and lavender daisies, and yellow gladioli, along with a pink ribbon, is delivered in a white container.&lt;br&gt;&lt;br&gt;Approximately: 24" W x 34" H &lt;br&gt;&lt;br&gt;Orientation: One-Sided&lt;br&gt;&lt;br&gt;&lt;span style="color: #6aa84f;"&gt;&lt;strong&gt;Free Delivery!&lt;/strong&gt;&lt;/span&gt;</t>
  </si>
  <si>
    <t>TF184-3</t>
  </si>
  <si>
    <t>https://cdn.shopify.com/s/files/1/0790/8529/products/T12Z104A.jpeg?v=1425992870</t>
  </si>
  <si>
    <t>(display image: Warm Thoughts Arrangement)</t>
  </si>
  <si>
    <t>White Garden</t>
  </si>
  <si>
    <t>Whether at the office or in their home, our garden dish, filled with an artful display of white-on-green plants, will be an everlasting reminder of your thoughtfulness.&lt;br&gt;&lt;br&gt;Dieffenbachia, fern, ivy and spathiphyllum arrive in a simple round dish.&lt;br&gt;&lt;br&gt;Approximately: 13" W x 15" H&lt;br&gt;&lt;br&gt;Orientation: One-Sided&lt;br&gt;&lt;br&gt;&lt;span style="color: #6aa84f;"&gt;&lt;strong&gt;Free Delivery!&lt;/strong&gt;&lt;/span&gt;</t>
  </si>
  <si>
    <t>Flower Shop, For Home, House Plants</t>
  </si>
  <si>
    <t>TF139-2</t>
  </si>
  <si>
    <t>https://cdn.shopify.com/s/files/1/0790/8529/products/T100-3A.jpeg?v=1425992867</t>
  </si>
  <si>
    <t>(display image: White Garden)</t>
  </si>
  <si>
    <t>Parlor Palm</t>
  </si>
  <si>
    <t>This plant enjoys indirect light, making it perfect for most indoor settings. With its impressive height and many stalks, it's perfect for more places than just the parlor.&lt;br&gt;&lt;br&gt;One palm plant arrives in a rattan pot cover.&lt;br&gt;&lt;br&gt;Approximately: 23" W x 30" H&lt;br&gt;&lt;br&gt;&lt;span style="color: #6aa84f;"&gt;&lt;strong&gt;Free Delivery!&lt;/strong&gt;&lt;/span&gt;</t>
  </si>
  <si>
    <t>TF136-2</t>
  </si>
  <si>
    <t>https://cdn.shopify.com/s/files/1/0790/8529/products/34720.jpeg?v=1425992865</t>
  </si>
  <si>
    <t>(display image: Parlor Palm)</t>
  </si>
  <si>
    <t>Teleflora's Opulent Orchids</t>
  </si>
  <si>
    <t>Pure elegance. That's what these divine white phalaenopsis orchids deliver. They're beautiful upon arrival, and what's even more beautiful is that these amazing plants are easy to take care of, and can blossom for months.&lt;br&gt;&lt;br&gt;A white phalaenopsis orchid plant arrives in an exclusive bamboo cube. Now that's the kind of opulence anyone can appreciate.&lt;br&gt;&lt;br&gt;Approximately: 11 1/2" W x 25 1/2" H&lt;br&gt;&lt;br&gt;&lt;span style="color: #6aa84f;"&gt;&lt;strong&gt;Free Delivery!&lt;/strong&gt;&lt;/span&gt;</t>
  </si>
  <si>
    <t>T98-2A</t>
  </si>
  <si>
    <t>https://cdn.shopify.com/s/files/1/0790/8529/products/T98-2A.jpeg?v=1425992864</t>
  </si>
  <si>
    <t>(display image: Teleflora's Opulent Orchids)</t>
  </si>
  <si>
    <t>Teleflora's Imperial Purple Orchid</t>
  </si>
  <si>
    <t>Shangri-la might be a fictional place, but this stunning orchid is firmly planted in the most beautiful kind of reality. An exotic lavender phalaenopsis orchid comes delivered in a distinctive cube made of beautiful, natural bamboo. It's easy to take care of and lovely to look at.&lt;br&gt;&lt;br&gt;A lavender phalaenopsis orchid plant arrives in an exclusive bamboo cube. It's almost too good to be true.&lt;br&gt;&lt;br&gt;Approximately: 13" W x 22 1/2" H&lt;br&gt;&lt;br&gt;&lt;span style="color: #6aa84f;"&gt;&lt;strong&gt;Free Delivery!&lt;/strong&gt;&lt;/span&gt;</t>
  </si>
  <si>
    <t>T98-1A</t>
  </si>
  <si>
    <t>https://cdn.shopify.com/s/files/1/0790/8529/products/T98-1A.jpeg?v=1425992863</t>
  </si>
  <si>
    <t>(display image: Teleflora's Imperial Purple Orchid)</t>
  </si>
  <si>
    <t>Rose Repose</t>
  </si>
  <si>
    <t>T96-3A</t>
  </si>
  <si>
    <t>https://cdn.shopify.com/s/files/1/0790/8529/products/T96-3A.jpeg?v=1425992862</t>
  </si>
  <si>
    <t>(display image: Rose Repose)</t>
  </si>
  <si>
    <t>Secret Garden Basket</t>
  </si>
  <si>
    <t>&lt;p&gt;Imagine walking into a secret fern grotto. This lush garden arrangement features the delicate fronds of maidenhair and Boston ferns mixed with colorful kalanchoe and pink hypoestes. It's a casual gift basket that brings the natural serenity of the outdoors into any room of the home or office.&lt;br&gt;&lt;br&gt;A round wicker flower basket holds five unique potted plant varieties: maidenhair fern, Boston fern, pink kalanchoe, pink hypoestes and green nephthytis.&lt;/p&gt;
&lt;meta charset="utf-8"&gt;
&lt;p&gt;&lt;span&gt;Approximately: 15 1/2" W x 15 1/2" H&lt;/span&gt;&lt;/p&gt;
&lt;meta charset="utf-8"&gt;
&lt;p&gt;&lt;span&gt;&lt;span&gt;Orientation: All-Around&lt;/span&gt;&lt;/span&gt;&lt;/p&gt;
&lt;p&gt;Prices include allÂ deliveryÂ fees.&lt;/p&gt;</t>
  </si>
  <si>
    <t>T96-2A</t>
  </si>
  <si>
    <t>https://cdn.shopify.com/s/files/1/0790/8529/products/T96-2A.jpeg?v=1425992861</t>
  </si>
  <si>
    <t>(display image: Secret Garden Basket)</t>
  </si>
  <si>
    <t>Sweet Azalea Delight</t>
  </si>
  <si>
    <t>&lt;p&gt;These azaleas will amaze ya! Azalea plants are prized for their delicate flowers and deep green leaves, and this simple gift makes the most of both. The beloved pink flowering houseplant is delightfully presented in a white ceramic planter.&lt;/p&gt;
&lt;meta charset="utf-8"&gt;
&lt;p&gt;&lt;span&gt;Approximately: 14 1/2" W x 12" H&lt;/span&gt;&lt;/p&gt;
&lt;p&gt;Orientation: All Around&lt;/p&gt;
&lt;p&gt;A potted pink azalea plant is delivered in a classic ceramic planter.&lt;/p&gt;</t>
  </si>
  <si>
    <t>T96-1A</t>
  </si>
  <si>
    <t>https://cdn.shopify.com/s/files/1/0790/8529/products/T96-1A.jpeg?v=1425992860</t>
  </si>
  <si>
    <t>(display image: Sweet Azalea Delight)</t>
  </si>
  <si>
    <t>Basket of Joy</t>
  </si>
  <si>
    <t>Ultra-big on beauty and ultra-low on maintenance, it's a simply beautiful gift.&lt;br&gt;&lt;br&gt;Two ivy plants along with white and yellow kalanchoe fill a charming round basket.Â &lt;br&gt;&lt;br&gt;Approximately: 13" W x 11" H&lt;br&gt;&lt;br&gt;Orientation: All-Around&lt;br&gt;&lt;br&gt;&lt;span style="color: #6aa84f;"&gt;&lt;strong&gt;Free Delivery!&lt;/strong&gt;&lt;/span&gt;</t>
  </si>
  <si>
    <t>T95-2A</t>
  </si>
  <si>
    <t>https://cdn.shopify.com/s/files/1/0790/8529/products/T95-2A.jpeg?v=1425992858</t>
  </si>
  <si>
    <t>(display image: Basket of Joy)</t>
  </si>
  <si>
    <t>Spring Has Sprung Mixed Basket</t>
  </si>
  <si>
    <t>Sing a song of spring by sending this gorgeous basket full of spring's prettiest plants. Send someone special this sweet mix of bright colors and terrific textures.&lt;br&gt;&lt;br&gt;A purple African violet, yellow begonia, pink kalanchoe and white hypoestes are arranged in a pretty round basket. It's blooming beautiful.&lt;br&gt;&lt;br&gt;Approximately: 12" W x 12 1/2" H&lt;br&gt;&lt;br&gt;Orientation: All-Around&lt;br&gt;&lt;br&gt;&lt;span style="color: #6aa84f;"&gt;&lt;strong&gt;Free Delivery!&lt;/strong&gt;&lt;/span&gt;</t>
  </si>
  <si>
    <t>T93-1A</t>
  </si>
  <si>
    <t>https://cdn.shopify.com/s/files/1/0790/8529/products/T93-1A.jpeg?v=1425992857</t>
  </si>
  <si>
    <t>(display image: Spring Has Sprung Mixed Basket)</t>
  </si>
  <si>
    <t>Garden To Go Basket</t>
  </si>
  <si>
    <t>T92-2A</t>
  </si>
  <si>
    <t>https://cdn.shopify.com/s/files/1/0790/8529/products/T92-2A.jpeg?v=1425992856</t>
  </si>
  <si>
    <t>(display image: Garden To Go Basket)</t>
  </si>
  <si>
    <t>Plants Galore</t>
  </si>
  <si>
    <t>T90-1A</t>
  </si>
  <si>
    <t>https://cdn.shopify.com/s/files/1/0790/8529/products/T90-1A.jpeg?v=1425992855</t>
  </si>
  <si>
    <t>(display image: Plants Galore)</t>
  </si>
  <si>
    <t>Happy Hydrangea</t>
  </si>
  <si>
    <t>T89-2A</t>
  </si>
  <si>
    <t>https://cdn.shopify.com/s/files/1/0790/8529/products/T89-2A.jpeg?v=1425992854</t>
  </si>
  <si>
    <t>(display image: Happy Hydrangea)</t>
  </si>
  <si>
    <t>Your Majesty</t>
  </si>
  <si>
    <t>This stunning tropical bouquet really is fit for a queen. It's an elegant mix of vibrant flowers set in a tall vase lined with tropical leaves. It makes a beautiful addition to a modern home or outstanding office decor.&lt;br&gt;&lt;br&gt;A lovely mix of blue hydrangea, green cymbidium orchids, mokara orchids, lavender roses and lots more are delivered in a footed and flared glass vase. Make magic happen for her majesty!&lt;br&gt;&lt;br&gt;Approximately: 23" W x 21" H&lt;br&gt;&lt;br&gt;Orientation: One-Sided&lt;br&gt;&lt;br&gt;&lt;span style="color: #6aa84f;"&gt;&lt;strong&gt;Free Delivery!&lt;/strong&gt;&lt;/span&gt;</t>
  </si>
  <si>
    <t>T80-1A</t>
  </si>
  <si>
    <t>https://cdn.shopify.com/s/files/1/0790/8529/products/T80-1A.jpeg?v=1425992853</t>
  </si>
  <si>
    <t>(display image: Your Majesty)</t>
  </si>
  <si>
    <t>Teleflora's Exotic Grace - Premium</t>
  </si>
  <si>
    <t>Orange flowers, gorgeous green ti leaves and small bamboo-like canes are arranged in a balanced, Zen-like composition.&lt;br&gt;&lt;br&gt; Asiatic lilies, alstroemeria and birds of paradise are accented with red hypericum, ti leaves, galax leaves, oregonia and bamboo-like equisetum. Delivered in a dark brown bamboo dish.&lt;br&gt;&lt;br&gt;Approximately: 19 1/2" W x 25" H&lt;br&gt;&lt;br&gt;Orientation: One-Sided&lt;br&gt;&lt;br&gt;&lt;span style="color: #6aa84f;"&gt;&lt;strong&gt;Free Delivery!&lt;/strong&gt;&lt;/span&gt;</t>
  </si>
  <si>
    <t>Flower Shop, For Home, Funeral Baskets, Sympathy Flowers</t>
  </si>
  <si>
    <t>T77-1C</t>
  </si>
  <si>
    <t>https://cdn.shopify.com/s/files/1/0790/8529/products/T77-1C.jpeg?v=1425992852</t>
  </si>
  <si>
    <t>(display image: Teleflora's Exotic Grace - Premium)</t>
  </si>
  <si>
    <t>My Perfect Love-Long Stemmed Roses</t>
  </si>
  <si>
    <t>When it comes to romance, the red rose rules! And when it comes to delivering romance in a big way, two dozen gorgeous red roses are a brilliant choice.&lt;br&gt;&lt;br&gt;Twenty-four stunning red roses are arranged with greenery and delivered in a feminine vase.&lt;br&gt;&lt;br&gt;Approximately: 24" W x 26" H&lt;br&gt;&lt;br&gt;Orientation: All-Around&lt;br&gt;&lt;br&gt;&lt;span style="color: #6aa84f;"&gt;&lt;strong&gt;Free Delivery!&lt;/strong&gt;&lt;/span&gt;</t>
  </si>
  <si>
    <t>T61-1A</t>
  </si>
  <si>
    <t>https://cdn.shopify.com/s/files/1/0790/8529/products/T61-1A.jpeg?v=1425992850</t>
  </si>
  <si>
    <t>(display image: My Perfect Love-Long Stemmed Roses)</t>
  </si>
  <si>
    <t>Teleflora's Rhapsody in Purple</t>
  </si>
  <si>
    <t>A rhapsody of beauty is on stunning display in this arrangement. Gorgeous blossoms are beautifully arranged and delivered in a divine Couture Vase.&lt;br&gt;&lt;br&gt;Purple hydrangea, lavender roses, hot pink spray roses and white freesia arrive in style!&lt;br&gt;&lt;br&gt;Approximately: 12 1/2" W x 13 1/2" H&lt;br&gt;&lt;br&gt;Orientation: All-Around&lt;br&gt;&lt;br&gt;&lt;span style="color: #6aa84f;"&gt;&lt;strong&gt;Free Delivery!&lt;/strong&gt;&lt;/span&gt;</t>
  </si>
  <si>
    <t>T51-1A</t>
  </si>
  <si>
    <t>https://cdn.shopify.com/s/files/1/0790/8529/products/T51-1B.jpeg?v=1425992849</t>
  </si>
  <si>
    <t>(display image: Teleflora's Rhapsody in Purple)</t>
  </si>
  <si>
    <t>Magnificent Life Spray</t>
  </si>
  <si>
    <t>T274-1A</t>
  </si>
  <si>
    <t>https://cdn.shopify.com/s/files/1/0790/8529/products/T274-1A.jpeg?v=1425992848</t>
  </si>
  <si>
    <t>(display image: Magnificent Life Spray)</t>
  </si>
  <si>
    <t>Adoring Heart</t>
  </si>
  <si>
    <t>Casket &amp; Urn, Flower Shop, Urn Arrangements</t>
  </si>
  <si>
    <t>T273-9A</t>
  </si>
  <si>
    <t>https://cdn.shopify.com/s/files/1/0790/8529/products/T273-9A.jpeg?v=1425992847</t>
  </si>
  <si>
    <t>(display image: Adoring Heart)</t>
  </si>
  <si>
    <t>Rainbow Of Remembrance Spray</t>
  </si>
  <si>
    <t>T273-8A</t>
  </si>
  <si>
    <t>https://cdn.shopify.com/s/files/1/0790/8529/products/T273-8A.jpeg?v=1425992846</t>
  </si>
  <si>
    <t>(display image: Rainbow Of Remembrance Spray)</t>
  </si>
  <si>
    <t>Shades Of Faith</t>
  </si>
  <si>
    <t>T273-7A</t>
  </si>
  <si>
    <t>https://cdn.shopify.com/s/files/1/0790/8529/products/T273-7A.jpeg?v=1425992845</t>
  </si>
  <si>
    <t>(display image: Shades Of Faith)</t>
  </si>
  <si>
    <t>Lavender Reflections Spray</t>
  </si>
  <si>
    <t>T273-6A</t>
  </si>
  <si>
    <t>https://cdn.shopify.com/s/files/1/0790/8529/products/T273-6A.jpeg?v=1425992844</t>
  </si>
  <si>
    <t>(display image: Lavender Reflections Spray)</t>
  </si>
  <si>
    <t>Island Sunset Casket Insert</t>
  </si>
  <si>
    <t>Casket &amp; Urn, Casket-Other, Flower Shop</t>
  </si>
  <si>
    <t>T273-5A</t>
  </si>
  <si>
    <t>https://cdn.shopify.com/s/files/1/0790/8529/products/T273-5A.jpg?v=1426182951</t>
  </si>
  <si>
    <t>With Affection Nosegay</t>
  </si>
  <si>
    <t>T273-3A</t>
  </si>
  <si>
    <t>https://cdn.shopify.com/s/files/1/0790/8529/products/T273-3A.jpg?v=1426183523</t>
  </si>
  <si>
    <t>Treasured Lilies Spray</t>
  </si>
  <si>
    <t>T273-2A</t>
  </si>
  <si>
    <t>https://cdn.shopify.com/s/files/1/0790/8529/products/T273-2A.jpeg?v=1425992841</t>
  </si>
  <si>
    <t>(display image: Treasured Lilies Spray)</t>
  </si>
  <si>
    <t>Heart's Companion Bouquet</t>
  </si>
  <si>
    <t>This artistically arranged bouquet of orange roses and lilies and other brightly colored blooms in a stylish bamboo cube will bring a ray of sunshine to any day.&lt;br&gt;&lt;br&gt;_x000D_The opulent bouquet includes orange roses, orange asiatic lilies, green anthuriums, red gerberas, red gladioli and green carnations, accented with assorted greenery. It is delivered in a large bamboo cube.&lt;br&gt;&lt;br&gt;Approximately 21" W x 39" H&lt;br&gt;&lt;br&gt;Orientation:One-Sided&lt;br&gt;&lt;br&gt;&lt;span style="color: #6aa84f;"&gt;&lt;strong&gt;Free Delivery!&lt;/strong&gt;&lt;/span&gt;</t>
  </si>
  <si>
    <t>T273-1A</t>
  </si>
  <si>
    <t>https://cdn.shopify.com/s/files/1/0790/8529/products/T273-1A.jpeg?v=1425992840</t>
  </si>
  <si>
    <t>(display image: Heart's Companion Bouquet)</t>
  </si>
  <si>
    <t>Heartwarming Thoughts Boston Fern</t>
  </si>
  <si>
    <t>The graceful Boston fern with its lacy, long green fronds is one of the most popular of all plants, perfect for any occasion.&lt;br&gt;&lt;br&gt;_x000D_The lush Boston fern plant will be delivered in a classic Gardens of Grace container.&lt;br&gt;&lt;br&gt;Approximately 33" W x 22" H&lt;br&gt;&lt;br&gt;Orientation:All-Around&lt;br&gt;&lt;br&gt;&lt;span style="color: #6aa84f;"&gt;&lt;strong&gt;Free Delivery!&lt;/strong&gt;&lt;/span&gt;</t>
  </si>
  <si>
    <t>T272-2A</t>
  </si>
  <si>
    <t>https://cdn.shopify.com/s/files/1/0790/8529/products/T272-2A.jpeg?v=1425992838</t>
  </si>
  <si>
    <t>(display image: Heartwarming Thoughts Boston Fern)</t>
  </si>
  <si>
    <t>A Fond Farewell Casket Spray</t>
  </si>
  <si>
    <t>Casket &amp; Urn, Casket Sprays, Flower Shop</t>
  </si>
  <si>
    <t>T271-3A</t>
  </si>
  <si>
    <t>https://cdn.shopify.com/s/files/1/0790/8529/products/T271-3A.jpeg?v=1425992837</t>
  </si>
  <si>
    <t>(display image: A Fond Farewell Casket Spray)</t>
  </si>
  <si>
    <t>A New Sunrise Spray</t>
  </si>
  <si>
    <t>While the loved one is no longer present, there are happy times that will never be forgotten. This radiant spray of red and orange flowers will be a lovely reminder.&lt;br&gt;&lt;br&gt;_x000D_The stunning arrangement includes orange Asiatic lilies, red gladioli, green carnations, peach hypericum, emerald palm and red ti leaves, accented with assorted greenery.&lt;br&gt;&lt;br&gt;Approximately 31" W x 50" H&lt;br&gt;&lt;br&gt;Orientation:One-Sided&lt;br&gt;&lt;br&gt;&lt;span style="color: #6aa84f;"&gt;&lt;strong&gt;Free Delivery!&lt;/strong&gt;&lt;/span&gt;</t>
  </si>
  <si>
    <t>T271-2A</t>
  </si>
  <si>
    <t>https://cdn.shopify.com/s/files/1/0790/8529/products/T271-2A.jpeg?v=1425992836</t>
  </si>
  <si>
    <t>(display image: A New Sunrise Spray)</t>
  </si>
  <si>
    <t>Days of Sunshine Bouquet</t>
  </si>
  <si>
    <t>This radiant bouquet of red and orange flowers in a sparkling glass vase will be a reminder of the joyful experiences shared with the departed loved one.&lt;br&gt;&lt;br&gt; The brilliant arrangement includes red roses, red alstroemeria, orange gladioli, orange carnations and bells of Ireland, accented with assorted greenery and delivered in a clear glass Ming urn.&lt;br&gt;&lt;br&gt;Approximately 20" W x 26 1/2" H&lt;br&gt;&lt;br&gt;Orientation:One-Sided&lt;br&gt;&lt;br&gt;&lt;span style="color: #6aa84f;"&gt;&lt;strong&gt;Free Delivery!&lt;/strong&gt;&lt;/span&gt;</t>
  </si>
  <si>
    <t>T271-1A</t>
  </si>
  <si>
    <t>https://cdn.shopify.com/s/files/1/0790/8529/products/T271-1A.jpeg?v=1425992835</t>
  </si>
  <si>
    <t>(display image: Days of Sunshine Bouquet)_x000D_Days of Sunshine Bouquet)</t>
  </si>
  <si>
    <t>Deep in Our Hearts Spray</t>
  </si>
  <si>
    <t>Express your heartfelt sympathies with this magnificent spray of all-red floral favorites. It is a beautiful and vibrant way to help ease the pain of loss.&lt;br&gt;&lt;br&gt;_x000D_The radiant arrangement includes red roses, red gladioli, red carnations and red miniature carnations, accented with assorted greenery.&lt;br&gt;&lt;br&gt;Approximately 26" W x 52" H&lt;br&gt;&lt;br&gt;Orientation:One-Sided&lt;br&gt;&lt;br&gt;&lt;span style="color: #6aa84f;"&gt;&lt;strong&gt;Free Delivery!&lt;/strong&gt;&lt;/span&gt;</t>
  </si>
  <si>
    <t>T270-1A</t>
  </si>
  <si>
    <t>https://cdn.shopify.com/s/files/1/0790/8529/products/T270-1A.jpeg?v=1425992833</t>
  </si>
  <si>
    <t>(display image: Deep in Our Hearts Spray)</t>
  </si>
  <si>
    <t>Garden Cross</t>
  </si>
  <si>
    <t>A spiritual tribute for the religious service, this lovely cross made of green hydrangea, green dianthus and other favorites symbolizes the hope for eternal life.&lt;br&gt;&lt;br&gt;The exquisite arrangement includes green hydrangea, green trick dianthus, variegated pittospourum, accented with Israeli ruscus and other assorted greenery.&lt;br&gt;&lt;br&gt;Approximately: 22" W x 34 1/2" H&lt;br&gt;&lt;br&gt;Orientation: One-Sided&lt;br&gt;&lt;br&gt;&lt;span style="color: #6aa84f;"&gt;&lt;strong&gt;Free Delivery!&lt;/strong&gt;&lt;/span&gt;</t>
  </si>
  <si>
    <t>T269-2A</t>
  </si>
  <si>
    <t>https://cdn.shopify.com/s/files/1/0790/8529/products/T269-2A.jpeg?v=1425992832</t>
  </si>
  <si>
    <t>(display image: Garden Cross)</t>
  </si>
  <si>
    <t>Mosaic of Memories Square Easel</t>
  </si>
  <si>
    <t>A unique and lovely tribute for the service, this contemporary square easel wreath of purple and green flowers is a gift of caring expressed with beauty and style.&lt;br&gt;&lt;br&gt;The elegant arrangement includes purple alstroemeria, green gladioli, green carnations, purple cushion spray chrysanthemums, lavender button spray chrysanthemums, green button spray chrysanthemums and purple button spray chrysanthemums, accented with assorted greenery.&lt;br&gt;&lt;br&gt;Approximately: 23 1/2" W x 23 1/2" H&lt;br&gt;&lt;br&gt;Orientation: One-Sided&lt;br&gt;&lt;br&gt;&lt;span style="color: #6aa84f;"&gt;&lt;strong&gt;Free Delivery!&lt;/strong&gt;&lt;/span&gt;</t>
  </si>
  <si>
    <t>T269-1A</t>
  </si>
  <si>
    <t>https://cdn.shopify.com/s/files/1/0790/8529/products/T269-1A.jpeg?v=1425992831</t>
  </si>
  <si>
    <t>(display image: Mosaic of Memories Square Easel)</t>
  </si>
  <si>
    <t>Reflections of Gratitude Casket Spray</t>
  </si>
  <si>
    <t>Devotion is beautifully expressed with lavender roses, purple alstroemeria and other favorites artistically arranged and placed on top of the casket. &lt;br&gt;&lt;br&gt;The lush arrangement includes green miniature hydrangea, lavender roses, purple alstroemeria, green gladioli, green trick dianthus, purple carnations, lavender stock and green hypericum, accented with assorted greenery.&lt;br&gt;&lt;br&gt;Approximately: 47" W x 30" H &lt;br&gt;&lt;br&gt;&lt;span style="color: #6aa84f;"&gt;&lt;strong&gt;Free Delivery!&lt;/strong&gt;&lt;/span&gt;</t>
  </si>
  <si>
    <t>T268-3A</t>
  </si>
  <si>
    <t>https://cdn.shopify.com/s/files/1/0790/8529/products/T268-3A.jpeg?v=1425992830</t>
  </si>
  <si>
    <t>(display image: Reflections of Gratitude Casket Spray)</t>
  </si>
  <si>
    <t>Garden of Sweet Memories Spray</t>
  </si>
  <si>
    <t>Bring a gentle radiance to the memorial service with this lovely multicolored casket spray of roses, lilies and other favorites. A beautiful way to honor the departed.&lt;br&gt;&lt;br&gt;The elegant arrangement includes purple hydrangea, hot pink roses, peach spray roses, pink stargazer lilies, peach miniature gerberas, green gladioli, pink carnations, yellow snapdragons, lavender stock and solidago, accented with assorted greenery.&lt;br&gt;&lt;br&gt;Approximately: 42" W x 20" H &lt;br&gt;&lt;br&gt;&lt;span style="color: #6aa84f;"&gt;&lt;strong&gt;Free Delivery!&lt;/strong&gt;&lt;/span&gt;</t>
  </si>
  <si>
    <t>T267-4A</t>
  </si>
  <si>
    <t>https://cdn.shopify.com/s/files/1/0790/8529/products/T267-4A.jpg?v=1426181409</t>
  </si>
  <si>
    <t>Glorious Memories Garland</t>
  </si>
  <si>
    <t>Create a beautiful resting place with this magnificent garland of roses and other floral favorites artistically placed at the base of the casket lid. &lt;br&gt;&lt;br&gt;The exquisite arrangement includes 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greenery.&lt;br&gt;&lt;br&gt;Approximately: 32" W x 8" H &lt;br&gt;&lt;br&gt;Orientation: One-Sided&lt;br&gt;&lt;br&gt;&lt;span style="color: #6aa84f;"&gt;&lt;strong&gt;Free Delivery!&lt;/strong&gt;&lt;/span&gt;</t>
  </si>
  <si>
    <t>T267-3A</t>
  </si>
  <si>
    <t>https://cdn.shopify.com/s/files/1/0790/8529/products/T267-3A.jpeg?v=1425992827</t>
  </si>
  <si>
    <t>(display image: Glorious Memories Garland)</t>
  </si>
  <si>
    <t>Glorious Grace Bouquet</t>
  </si>
  <si>
    <t>This gorgeous array of roses, lilies and other favorites is a beautiful tribute to the spirit of a loved one who is no longer with us.&lt;br&gt;&lt;br&gt;_x000D_The magnificent bouquet includes pink hydrangea, lavender roses, pink oriental lilies, yellow gerberas, yellow alstroemeria, yellow snapdragons, purple larkspur and peach stock, accented with assorted greenery.&lt;br&gt;&lt;br&gt;Approximately 25" W x 31" H&lt;br&gt;&lt;br&gt;Orientation:One-Sided&lt;br&gt;&lt;br&gt;&lt;span style="color: #6aa84f;"&gt;&lt;strong&gt;Free Delivery!&lt;/strong&gt;&lt;/span&gt;</t>
  </si>
  <si>
    <t>T267-2A</t>
  </si>
  <si>
    <t>https://cdn.shopify.com/s/files/1/0790/8529/products/T267-2A.jpeg?v=1425992826</t>
  </si>
  <si>
    <t>(display image: Glorious Grace Bouquet)</t>
  </si>
  <si>
    <t>Love Everlasting Bouquet</t>
  </si>
  <si>
    <t>This lovely bouquet of pink lilies, blue hydrangea and other floral favorites is an eloquent expression of caring. The family will be touched by your thoughtfulness.&lt;br&gt;&lt;br&gt;_x000D_The stunning bouquet includes blue hydrangea, pink oriental lilies, yellow snapdragons and purple stock, accented with assorted greenery, delivered in a clear glass Ming urn.&lt;br&gt;&lt;br&gt;Approximately 20" W x 23" H&lt;br&gt;&lt;br&gt;Orientation:One-Sided&lt;br&gt;&lt;br&gt;&lt;span style="color: #6aa84f;"&gt;&lt;strong&gt;Free Delivery!&lt;/strong&gt;&lt;/span&gt;</t>
  </si>
  <si>
    <t>T267-1A</t>
  </si>
  <si>
    <t>https://cdn.shopify.com/s/files/1/0790/8529/products/T267-1A.jpeg?v=1425992825</t>
  </si>
  <si>
    <t>(display image: Love Everlasting Bouquet)</t>
  </si>
  <si>
    <t>Warmest Remembrance Casket Spray</t>
  </si>
  <si>
    <t>This gorgeous casket spray featuring peach, pink and coral roses is an expression of great love and a beautiful final farewell to a lost loved one.&lt;br&gt;&lt;br&gt;_x000D_The beautiful bouquet includes peach roses, light pink spray roses, coral spray roses, light orange gerberas, light orange carnations, light yellow stock and peach hypericum, accented with satin ribbon and assorted greenery.&lt;br&gt;&lt;br&gt;Approximately 50" W x 17 1/2" H&lt;br&gt;&lt;br&gt;Orientation:N/A&lt;br&gt;&lt;br&gt;&lt;span style="color: #6aa84f;"&gt;&lt;strong&gt;Free Delivery!&lt;/strong&gt;&lt;/span&gt;</t>
  </si>
  <si>
    <t>T266-3A</t>
  </si>
  <si>
    <t>https://cdn.shopify.com/s/files/1/0790/8529/products/T266-3A.jpeg?v=1425992824</t>
  </si>
  <si>
    <t>(display image: Warmest Remembrance Casket Spray)_x000D_Warmest Remembrance Casket Spray)</t>
  </si>
  <si>
    <t>Summer's Light Bouquet</t>
  </si>
  <si>
    <t>Convey your sympathy in tasteful shades of color with peach, orange and yellow flowers in a sparkling glass vase. A lovely and thoughtful gift for the home.&lt;br&gt;&lt;br&gt;_x000D_The stunning bouquet includes peach roses, peach gerberas, orange alstroemeria, peach gladioli, yellow snapdragons and yellow stock, accented with assorted greenery and delivered in a glass trumpet vase.&lt;br&gt;&lt;br&gt;Approximately 17 1/2" W x 29" H&lt;br&gt;&lt;br&gt;Orientation:One-Sided&lt;br&gt;&lt;br&gt;&lt;span style="color: #6aa84f;"&gt;&lt;strong&gt;Free Delivery!&lt;/strong&gt;&lt;/span&gt;</t>
  </si>
  <si>
    <t>T266-2A</t>
  </si>
  <si>
    <t>https://cdn.shopify.com/s/files/1/0790/8529/products/T266-2A.jpeg?v=1425992822</t>
  </si>
  <si>
    <t>(display image: Summer's Light Bouquet)</t>
  </si>
  <si>
    <t>Sweet Remembrance Spray</t>
  </si>
  <si>
    <t>A fountain of subtle color is provided by this gracefully elegant array of peach roses and lilies and other favorites - a symbol of life and hope during a difficult time.&lt;br&gt;&lt;br&gt;_x000D_The striking bouquet includes peach roses, orange bi-color roses, peach spray roses, peach asiatic lilies, orange alstroemeria, peach carnations and bells of Ireland, accented with assorted greenery.&lt;br&gt;&lt;br&gt;Approximately 23" W x 46" H&lt;br&gt;&lt;br&gt;Orientation:One-Sided&lt;br&gt;&lt;br&gt;&lt;span style="color: #6aa84f;"&gt;&lt;strong&gt;Free Delivery!&lt;/strong&gt;&lt;/span&gt;</t>
  </si>
  <si>
    <t>T266-1A</t>
  </si>
  <si>
    <t>https://cdn.shopify.com/s/files/1/0790/8529/products/T266-1A.jpeg?v=1425992821</t>
  </si>
  <si>
    <t>(display image: Sweet Remembrance Spray)</t>
  </si>
  <si>
    <t>Serene Reflections Bouquet</t>
  </si>
  <si>
    <t>Your love will be warmly felt by the family with this lovely gift of white roses and other favorites in a silver jardiniere vase. Tasteful and elegant, it is a beautiful choice.&lt;br&gt;&lt;br&gt;_x000D_The exquisite bouquet includes white roses, white alstroemeria, white carnations, white snapdragons and white spider chrysanthemums, accented with assorted greenery and delivered in a silver jardinere vase.&lt;br&gt;&lt;br&gt;Approximately 31" W x 35" H&lt;br&gt;&lt;br&gt;Orientation:One-Sided&lt;br&gt;&lt;br&gt;&lt;span style="color: #6aa84f;"&gt;&lt;strong&gt;Free Delivery!&lt;/strong&gt;&lt;/span&gt;</t>
  </si>
  <si>
    <t>T265-1A</t>
  </si>
  <si>
    <t>https://cdn.shopify.com/s/files/1/0790/8529/products/T265-1A.jpeg?v=1425992820</t>
  </si>
  <si>
    <t>(display image: Serene Reflections Bouquet)</t>
  </si>
  <si>
    <t>Enduring Light Casket Spray</t>
  </si>
  <si>
    <t>The purity of this all-white casket spray creates an aura of serenity and peace - a beautifully memorable final farewell to a lost loved one. &lt;br&gt;&lt;br&gt;The elegant arrangement includes white alstroemeria, white snapdragons, white chrysanthemums, white spider chrysanthemums and million star gypsophila, accented with assorted greenery.&lt;br&gt;&lt;br&gt;Approximately: 54" W x 23" H &lt;br&gt;&lt;br&gt;&lt;span style="color: #6aa84f;"&gt;&lt;strong&gt;Free Delivery!&lt;/strong&gt;&lt;/span&gt;</t>
  </si>
  <si>
    <t>T264-3A</t>
  </si>
  <si>
    <t>https://cdn.shopify.com/s/files/1/0790/8529/products/T264-3A.jpeg?v=1425992819</t>
  </si>
  <si>
    <t>(display image: Enduring Light Casket Spray)</t>
  </si>
  <si>
    <t>Teleflora's Inspiration Bouquet</t>
  </si>
  <si>
    <t>Six large white calla lilies in a stunning vase adorned with a cross is a gift of beauty and serenity that is ideal for the home or the memorial service._x000D_The gorgeous bouquet includes six large white calla lilies, accented with ti leaves and salal.&lt;br&gt;&lt;br&gt;Delivered in glass vase inside a silver-toned sleeve adorned with a cut-out cross.&lt;br&gt;&lt;br&gt;Approximately 21 1/2" W x 24 1/2" H&lt;br&gt;&lt;br&gt;Orientation:All-Around&lt;br&gt;&lt;br&gt;&lt;span style="color: #6aa84f;"&gt;&lt;strong&gt;Free Delivery!&lt;/strong&gt;&lt;/span&gt;</t>
  </si>
  <si>
    <t>T264-2A</t>
  </si>
  <si>
    <t>https://cdn.shopify.com/s/files/1/0790/8529/products/T264-2A.jpeg?v=1425992818</t>
  </si>
  <si>
    <t>(display image: Teleflora's Inspiration Bouquet)</t>
  </si>
  <si>
    <t>Teleflora's Gift of Grace Bouquet</t>
  </si>
  <si>
    <t>A beautiful expression of caring, this stunning array of white roses and lilies in a stylish scalloped design bowl sent to the home will be deeply appreciated.&lt;br&gt;&lt;br&gt;_x000D_The elegant bouquet includes white roses, white spray roses, white asiatic lilies, white stock and queen anne's lace, accented with assorted greenery and delivered in a silver scalloped design bowl.&lt;br&gt;&lt;br&gt;Approximately 17" W x 15" H&lt;br&gt;&lt;br&gt;Orientation:All-Around&lt;br&gt;&lt;br&gt;&lt;span style="color: #6aa84f;"&gt;&lt;strong&gt;Free Delivery!&lt;/strong&gt;&lt;/span&gt;</t>
  </si>
  <si>
    <t>T264-1A</t>
  </si>
  <si>
    <t>https://cdn.shopify.com/s/files/1/0790/8529/products/T264-1A.jpeg?v=1425992816</t>
  </si>
  <si>
    <t>(display image: Teleflora's Gift of Grace Bouquet)</t>
  </si>
  <si>
    <t>Moonlit Walk</t>
  </si>
  <si>
    <t>T263-3A</t>
  </si>
  <si>
    <t>https://cdn.shopify.com/s/files/1/0790/8529/products/T263-3A.jpg?v=1426183129</t>
  </si>
  <si>
    <t>Teleflora's Sacred Cross Bouquet</t>
  </si>
  <si>
    <t>This serenely lovely bouquet of fragrant white lilies in an elegant glass vase adorned with a cross is a meaningful way to honor the memory of a cherished loved one.&lt;br&gt;&lt;br&gt;_x000D_The exquisite bouquet features five stems of white asiatic lilies, accented with assorted greenery.&lt;br&gt;&lt;br&gt;Approximately 18" W x 20 1/2" H&lt;br&gt;&lt;br&gt;Orientation:One-Sided&lt;br&gt;&lt;br&gt;&lt;span style="color: #6aa84f;"&gt;&lt;strong&gt;Free Delivery!&lt;/strong&gt;&lt;/span&gt;</t>
  </si>
  <si>
    <t>T263-2A</t>
  </si>
  <si>
    <t>https://cdn.shopify.com/s/files/1/0790/8529/products/T263-2A.jpeg?v=1425992814</t>
  </si>
  <si>
    <t>(display image: Teleflora's Sacred Cross Bouquet)</t>
  </si>
  <si>
    <t>Pure Faith Pillow</t>
  </si>
  <si>
    <t>Snowy white roses and fragrant white lilies framed by a ring of fresh greenery - a lovely and exquisitely intimate floral tribute for inside the casket.&lt;br&gt;&lt;br&gt;_x000D_The beautiful bouquet includes white spray roses and white asiatic lilies, framed by fresh salal.&lt;br&gt;&lt;br&gt;Approximately 13" W x 10" H&lt;br&gt;&lt;br&gt;Orientation:N/A&lt;br&gt;&lt;br&gt;&lt;span style="color: #6aa84f;"&gt;&lt;strong&gt;Free Delivery!&lt;/strong&gt;&lt;/span&gt;</t>
  </si>
  <si>
    <t>T263-1A</t>
  </si>
  <si>
    <t>https://cdn.shopify.com/s/files/1/0790/8529/products/T263-1A.jpeg?v=1425992813</t>
  </si>
  <si>
    <t>(display image: Pure Faith Pillow)</t>
  </si>
  <si>
    <t>Heavenly Light</t>
  </si>
  <si>
    <t>White roses and white lilies in a beautiful basket is a gift of caring that brings an air of serenity to the memorial service. Later, it will be a comfort to the family at home.&lt;br&gt;&lt;br&gt; The exquisite bouquet includes white spray roses and white asiatic lilies accented with salal. Delivered in a natural pot basket.&lt;br&gt;&lt;br&gt;Approximately: 25 1/2" W x 28 1/2" H&lt;br&gt;&lt;br&gt;Orientation: One-Sided&lt;br&gt;&lt;br&gt;&lt;span style="color: #6aa84f;"&gt;&lt;strong&gt;Free Delivery!&lt;/strong&gt;&lt;/span&gt;</t>
  </si>
  <si>
    <t>T262-2A</t>
  </si>
  <si>
    <t>https://cdn.shopify.com/s/files/1/0790/8529/products/T262-2A.jpeg?v=1425992812</t>
  </si>
  <si>
    <t>(display image: Heavenly Light)</t>
  </si>
  <si>
    <t>Sentiments of Serenity Spray</t>
  </si>
  <si>
    <t>Stunning in its simplicity, this gorgeous spray of white roses, lilies and carnations decorated with white satin ribbon is a tasteful way to express your sympathy.&lt;br&gt;&lt;br&gt;_x000D_The elegant spray includes white roses, white Asiatic lilies and white carnations, accented with assorted greenery.&lt;br&gt;&lt;br&gt;Approximately 25" W x 35 1/2" H&lt;br&gt;&lt;br&gt;Orientation:One-Sided&lt;br&gt;&lt;br&gt;&lt;span style="color: #6aa84f;"&gt;&lt;strong&gt;Free Delivery!&lt;/strong&gt;&lt;/span&gt;</t>
  </si>
  <si>
    <t>T262-1A</t>
  </si>
  <si>
    <t>https://cdn.shopify.com/s/files/1/0790/8529/products/T262-1A.jpeg?v=1425992810</t>
  </si>
  <si>
    <t>(display image: Sentiments of Serenity Spray)</t>
  </si>
  <si>
    <t>Strength &amp; Solace Spray</t>
  </si>
  <si>
    <t>A beautiful complement to the memorial service, this gorgeous spray of red and white floral favorites will be deeply appreciated by the family during their time of loss.&lt;br&gt;&lt;br&gt;_x000D_The magnificent spray includes red gladioli, red carnations and white cushion spray chrysanthemums, accented with emerald palm and leatherleaf fern.&lt;br&gt;&lt;br&gt;Approximately 27" W x 47" H&lt;br&gt;&lt;br&gt;Orientation:One-Sided&lt;br&gt;&lt;br&gt;&lt;span style="color: #6aa84f;"&gt;&lt;strong&gt;Free Delivery!&lt;/strong&gt;&lt;/span&gt;</t>
  </si>
  <si>
    <t>T261-2A</t>
  </si>
  <si>
    <t>https://cdn.shopify.com/s/files/1/0790/8529/products/T261-2A.jpeg?v=1425992809</t>
  </si>
  <si>
    <t>(display image: Strength &amp; Solace Spray)</t>
  </si>
  <si>
    <t>Enduring Grace</t>
  </si>
  <si>
    <t>Everyone mourning the loss of a loved one will be comforted by this lovely array of red roses, red gladioli and white mums. &lt;br&gt;&lt;br&gt;A beautiful choice for the memorial service. The radiant bouquet includes red roses, red gladioli, red carnations and white spider chrysanthemums, accented with assorted greenery. Delivered in a 14" fireside basket.&lt;br&gt;&lt;br&gt;Approximately: 36" W x 31" H &lt;br&gt;&lt;br&gt;Orientation: One-Sided&lt;br&gt;&lt;br&gt;&lt;span style="color: #6aa84f;"&gt;&lt;strong&gt;Free Delivery!&lt;/strong&gt;&lt;/span&gt;</t>
  </si>
  <si>
    <t>T261-1A</t>
  </si>
  <si>
    <t>https://cdn.shopify.com/s/files/1/0790/8529/products/T261-1A.jpeg?v=1425992808</t>
  </si>
  <si>
    <t>(display image: Enduring Grace)</t>
  </si>
  <si>
    <t>Divine Grace 50-Bead Rosary</t>
  </si>
  <si>
    <t>For the Catholic service, this exquisite 50-bead rosary graced with red roses placed on the casket lid is a beautifully spiritual tribute to a departed loved one. &lt;br&gt;&lt;br&gt;The 50-bead rosary is decorated with red spray roses.&lt;br&gt;&lt;br&gt;Approximately: 26" W x 15 1/2" H &lt;br&gt;&lt;br&gt;&lt;span style="color: #6aa84f;"&gt;&lt;strong&gt;Free Delivery!&lt;/strong&gt;&lt;/span&gt;</t>
  </si>
  <si>
    <t>T260-3A</t>
  </si>
  <si>
    <t>https://cdn.shopify.com/s/files/1/0790/8529/products/T260-3A.jpeg?v=1425992805</t>
  </si>
  <si>
    <t>(display image: Divine Grace 50-Bead Rosary)</t>
  </si>
  <si>
    <t>Devoted Heart Casket Insert</t>
  </si>
  <si>
    <t>Such a simple tribute, this lovely casket bouquet of white roses enclosed in a heart of red carnations is a profoundly moving symbol of never-ending love.&lt;br&gt;&lt;br&gt; The sweet bouquet includes white spray roses surrounded by red miniature carnations formed in the shape of a heart.&lt;br&gt;&lt;br&gt;Approximately: 6 3/4" W x 6 1/2" H &lt;br&gt;&lt;br&gt;&lt;span style="color: #6aa84f;"&gt;&lt;strong&gt;Free Delivery!&lt;/strong&gt;&lt;/span&gt;</t>
  </si>
  <si>
    <t>T260-2A</t>
  </si>
  <si>
    <t>https://cdn.shopify.com/s/files/1/0790/8529/products/T260-2A.jpeg?v=1425992803</t>
  </si>
  <si>
    <t>(display image: Devoted Heart Casket Insert)</t>
  </si>
  <si>
    <t>Truly Beloved Bouquet</t>
  </si>
  <si>
    <t>After the service, the family will find great comfort coming home to this lovely array of classic blooms artistically arranged in a beautifully woven basket.&lt;br&gt;&lt;br&gt; The impressive bouquet includes red roses, white alstroemeria and red carnations, accented with assorted greenery.&lt;br&gt;&lt;br&gt;Approximately: 20 1/2" W x 23" H&lt;br&gt;&lt;br&gt;Orientation: One-Sided&lt;br&gt;&lt;br&gt;&lt;span style="color: #6aa84f;"&gt;&lt;strong&gt;Free Delivery!&lt;/strong&gt;&lt;/span&gt;</t>
  </si>
  <si>
    <t>T260-1A</t>
  </si>
  <si>
    <t>https://cdn.shopify.com/s/files/1/0790/8529/products/T260-1A.jpeg?v=1425992802</t>
  </si>
  <si>
    <t>(display image: Truly Beloved Bouquet)</t>
  </si>
  <si>
    <t>Life Loved Casket Spray</t>
  </si>
  <si>
    <t>As a tribute to a special person who has passed, this magnificent cascade of pink floral favorites is a radiant testament of profound and lasting love. &lt;br&gt;&lt;br&gt;The sumptuous bouquet includes dark pink alstroemeria, hot pink carnations, pink carnations and miniature light pink carnations accented with huckleberry and eucalyptus.&lt;br&gt;&lt;br&gt;Approximately: 49" W x 19" H &lt;br&gt;&lt;br&gt;&lt;span style="color: #6aa84f;"&gt;&lt;strong&gt;Free Delivery!&lt;/strong&gt;&lt;/span&gt;</t>
  </si>
  <si>
    <t>T259-3A</t>
  </si>
  <si>
    <t>https://cdn.shopify.com/s/files/1/0790/8529/products/T259-3A.jpeg?v=1425992801</t>
  </si>
  <si>
    <t>(display image: Life Loved Casket Spray)</t>
  </si>
  <si>
    <t>Rose Reflection Casket Insert</t>
  </si>
  <si>
    <t>Placed inside the casket, this sweet array of pink spray roses and pink carnations tied with pink satin ribbon is a very personal expression of love.&lt;br&gt;&lt;br&gt;_x000D_The delicate bouquet includes hot pink spray roses and light pink miniature carnations tied with pink satin ribbon, accented with green ivy.&lt;br&gt;&lt;br&gt;Approximately 9" W x 14" H&lt;br&gt;&lt;br&gt;Orientation:N/A&lt;br&gt;&lt;br&gt;&lt;span style="color: #6aa84f;"&gt;&lt;strong&gt;Free Delivery!&lt;/strong&gt;&lt;/span&gt;</t>
  </si>
  <si>
    <t>T259-2A</t>
  </si>
  <si>
    <t>https://cdn.shopify.com/s/files/1/0790/8529/products/T259-2A.jpeg?v=1425992800</t>
  </si>
  <si>
    <t>(display image: Rose Reflection Casket Insert)</t>
  </si>
  <si>
    <t>Teleflora's Sweet Tenderness</t>
  </si>
  <si>
    <t>This gorgeous bouquet of pink and white floral favorites will be a source of great comfort to the family. They'll long remember your thoughtfulness.&lt;br&gt;&lt;br&gt;_x000D_The beautiful bouquet includes pink alstroemeria, pink carnations, hot pink miniature carnations, white daisy spray chrysanthemums and white waxflower, accented with assorted greenery.&lt;br&gt;&lt;br&gt;Approximately 15 1/2" W x 18" H&lt;br&gt;&lt;br&gt;Orientation:One-Sided&lt;br&gt;&lt;br&gt;&lt;span style="color: #6aa84f;"&gt;&lt;strong&gt;Free Delivery!&lt;/strong&gt;&lt;/span&gt;</t>
  </si>
  <si>
    <t>T259-1A</t>
  </si>
  <si>
    <t>https://cdn.shopify.com/s/files/1/0790/8529/products/T259-1A.jpeg?v=1425992798</t>
  </si>
  <si>
    <t>(display image: Teleflora's Sweet Tenderness)</t>
  </si>
  <si>
    <t>Sweet Sincerity</t>
  </si>
  <si>
    <t>Serenely elegant, this radiant bouquet of fragrant pink lilies and other floral favorites is a lovely choice for the service, as well as a thoughtful gift for the home.&lt;br&gt;&lt;br&gt;_x000D_The stunning bouquet includes pink asiatic lilies, pink alstroemeria, hot pink carnations and pink miniature carnations accented with assorted greenery.&lt;br&gt;&lt;br&gt;Approximately 20" W x 20" H&lt;br&gt;&lt;br&gt;Orientation:One-Sided&lt;br&gt;&lt;br&gt;&lt;span style="color: #6aa84f;"&gt;&lt;strong&gt;Free Delivery!&lt;/strong&gt;&lt;/span&gt;</t>
  </si>
  <si>
    <t>T258-1A</t>
  </si>
  <si>
    <t>https://cdn.shopify.com/s/files/1/0790/8529/products/T258-1A.jpeg?v=1425992797</t>
  </si>
  <si>
    <t>(display image: Sweet Sincerity)</t>
  </si>
  <si>
    <t>Glorious Life Wreath</t>
  </si>
  <si>
    <t>This lovely, lavish wreath of fragrant light pink oriental lilies pays graceful tribute to a lost loved one. The family will be touched by this eloquent expression of caring.&lt;br&gt;&lt;br&gt;_x000D_The beautiful arrangement includes 25 stems of light pink oriental lilies mounted on a 15" wreath base.&lt;br&gt;&lt;br&gt;Approximately 20 1/2" W x 17 1/2" H&lt;br&gt;&lt;br&gt;Orientation:All-Around&lt;br&gt;&lt;br&gt;&lt;span style="color: #6aa84f;"&gt;&lt;strong&gt;Free Delivery!&lt;/strong&gt;&lt;/span&gt;</t>
  </si>
  <si>
    <t>T257-1A</t>
  </si>
  <si>
    <t>https://cdn.shopify.com/s/files/1/0790/8529/products/T257-1A.jpeg?v=1425992796</t>
  </si>
  <si>
    <t>(display image: Glorious Life Wreath)</t>
  </si>
  <si>
    <t>Imagination Blooms with Cymbidiums</t>
  </si>
  <si>
    <t>This composition of pink lilies, pink orchids and pink roses is memorably tranquil. A modern, square black dish is filled with just the right number of Zen tropical flowers, grasses and leaves.&lt;br&gt;&lt;br&gt;_x000D_Peaceful flowers such as pink asiatic lilies, pink roses and pink cymbidium orchids are presented with variegated ti leaves, bear grass and curly willow.&lt;br&gt;&lt;br&gt;Approximately 18" W x 27" H&lt;br&gt;&lt;br&gt;Orientation:One-Sided&lt;br&gt;&lt;br&gt;&lt;span style="color: #6aa84f;"&gt;&lt;strong&gt;Free Delivery!&lt;/strong&gt;&lt;/span&gt;</t>
  </si>
  <si>
    <t>T256-1A</t>
  </si>
  <si>
    <t>https://cdn.shopify.com/s/files/1/0790/8529/products/T256-1A.jpeg?v=1425992795</t>
  </si>
  <si>
    <t>(display image: Imagination Blooms with Cymbidiums)</t>
  </si>
  <si>
    <t>Forever Beloved - 30 Red Roses</t>
  </si>
  <si>
    <t>Timeless red roses eloquently pay tribute to a lost loved one.&lt;br&gt;&lt;br&gt;_x000D_Thirty red roses in an urn vase are complemented by fragrant eucalyptus.&lt;br&gt;&lt;br&gt;Approximately 20" W x 24" H&lt;br&gt;&lt;br&gt;Orientation:All-Around&lt;br&gt;&lt;br&gt;&lt;span style="color: #6aa84f;"&gt;&lt;strong&gt;Free Delivery!&lt;/strong&gt;&lt;/span&gt;</t>
  </si>
  <si>
    <t>T255-4A</t>
  </si>
  <si>
    <t>https://cdn.shopify.com/s/files/1/0790/8529/products/T255-4A.jpeg?v=1425992794</t>
  </si>
  <si>
    <t>(display image: Forever Beloved - 30 Red Roses)</t>
  </si>
  <si>
    <t>Full Heart - 16 Premium Red Roses</t>
  </si>
  <si>
    <t>What suggests a full heart more than rich, red roses?&lt;br&gt;&lt;br&gt;_x000D_Sixteen red roses are presented with fragrant eucalyptus in a lovely glass vase.&lt;br&gt;&lt;br&gt;Approximately 16" W x 17" H&lt;br&gt;&lt;br&gt;Orientation:All-Around&lt;br&gt;&lt;br&gt;&lt;span style="color: #6aa84f;"&gt;&lt;strong&gt;Free Delivery!&lt;/strong&gt;&lt;/span&gt;</t>
  </si>
  <si>
    <t>T255-3A</t>
  </si>
  <si>
    <t>https://cdn.shopify.com/s/files/1/0790/8529/products/T255-3A.jpeg?v=1425992792</t>
  </si>
  <si>
    <t>(display image: Full Heart - 16 Premium Red Roses)</t>
  </si>
  <si>
    <t>Richly Remembered</t>
  </si>
  <si>
    <t>A square wreath is a beautiful classic and the perfect fit, of course, for a treasured photograph. It mixes bright yellow roses with gorgeous green orchids and hydrangea.&lt;br&gt;&lt;br&gt;_x000D_Includes yellow roses and daisies, purple stock, green cymbidium orchids, hydrangea, gladioli, fuji mums and carnations.&lt;br&gt;&lt;br&gt;Approximately 22" W x 22" H&lt;br&gt;&lt;br&gt;Orientation:One-Sided&lt;br&gt;&lt;br&gt;&lt;span style="color: #6aa84f;"&gt;&lt;strong&gt;Free Delivery!&lt;/strong&gt;&lt;/span&gt;</t>
  </si>
  <si>
    <t>T255-2A</t>
  </si>
  <si>
    <t>https://cdn.shopify.com/s/files/1/0790/8529/products/T255-2A.jpeg?v=1425992791</t>
  </si>
  <si>
    <t>(display image: Richly Remembered)</t>
  </si>
  <si>
    <t>Garden Wreath</t>
  </si>
  <si>
    <t>An exquisite round wreath with blooms inspired by the lasting impressions a loved one makes on our lives. &lt;br&gt;&lt;br&gt;Surround a treasured photograph, poem or other dear memento with sweet, green carnations, white and green chrysanthemums and the special beauty of green cymbidium orchids. This luxurious wreath includes flowers such as carnations, chrysanthemums, silky green cymbidium orchid blossoms and variegated greenery. &lt;br&gt;&lt;br&gt;Please note: Arrangement does not include picture frame.&lt;br&gt;&lt;br&gt;Approximately: 20" W x 14" H &lt;br&gt;&lt;br&gt;Orientation: One-Sided&lt;br&gt;&lt;br&gt;&lt;span style="color: #6aa84f;"&gt;&lt;strong&gt;Free Delivery!&lt;/strong&gt;&lt;/span&gt;</t>
  </si>
  <si>
    <t>T255-1A</t>
  </si>
  <si>
    <t>https://cdn.shopify.com/s/files/1/0790/8529/products/T255-1A.jpeg?v=1425992790</t>
  </si>
  <si>
    <t>(display image: Garden Wreath)</t>
  </si>
  <si>
    <t>Sunset Wreath</t>
  </si>
  <si>
    <t>Magnificent orange roses, green hydrangea and rich, dark cymbidium orchids will help comfort heavy hearts at a memorial service.&lt;br&gt;&lt;br&gt;_x000D_Richly colored flowers such as orange roses, green hydrangea, brown cymbidium orchids and yellow chrysanthemums.Please note: Arrangement does not include urn.&lt;br&gt;&lt;br&gt;Approximately 26" W x 16 1/2" H&lt;br&gt;&lt;br&gt;Orientation:One-Sided&lt;br&gt;&lt;br&gt;&lt;span style="color: #6aa84f;"&gt;&lt;strong&gt;Free Delivery!&lt;/strong&gt;&lt;/span&gt;</t>
  </si>
  <si>
    <t>T254-1A</t>
  </si>
  <si>
    <t>https://cdn.shopify.com/s/files/1/0790/8529/products/T254-1A.jpeg?v=1425992789</t>
  </si>
  <si>
    <t>(display image: Sunset Wreath)</t>
  </si>
  <si>
    <t>Your Light Shines</t>
  </si>
  <si>
    <t>This softly elegant gesture of condolence and affection honoring the memory of a life well lived is a gentle touch during a difficult time. &lt;br&gt;&lt;br&gt;Lavender and pink flowers such as roses, hydrangea, monte cassino asters, eucalyptus and salal are arranged in a clear glass hurricane vase.&lt;br&gt;&lt;br&gt;Approximately: 15 1/2" W x 17" H &lt;br&gt;&lt;br&gt;Orientation: All-Around&lt;br&gt;&lt;br&gt;&lt;span style="color: #6aa84f;"&gt;&lt;strong&gt;Free Delivery!&lt;/strong&gt;&lt;/span&gt;</t>
  </si>
  <si>
    <t>T253-3A</t>
  </si>
  <si>
    <t>https://cdn.shopify.com/s/files/1/0790/8529/products/T253-3A.jpeg?v=1425992788</t>
  </si>
  <si>
    <t>(display image: Your Light Shines)</t>
  </si>
  <si>
    <t>Bed of Pink Roses</t>
  </si>
  <si>
    <t>A loving embrace. A beautiful gesture. A respectful tribute. A wealth of pink roses create a soft, serene and dignified way to cherish and honor the departed.&lt;br&gt;&lt;br&gt;An awesome display of pink roses are lovingly arranged with ivy and other gentle greens to display the urn.Please note: Arrangement does not include urn.&lt;br&gt;&lt;br&gt;Approximately: 33" W x 20" H&lt;br&gt;&lt;br&gt;Orientation: One-Sided&lt;br&gt;&lt;br&gt;&lt;span style="color: #6aa84f;"&gt;&lt;strong&gt;Free Delivery!&lt;/strong&gt;&lt;/span&gt;</t>
  </si>
  <si>
    <t>T253-2A</t>
  </si>
  <si>
    <t>https://cdn.shopify.com/s/files/1/0790/8529/products/T253-2A.jpeg?v=1425992786</t>
  </si>
  <si>
    <t>(display image: Bed of Pink Roses)</t>
  </si>
  <si>
    <t>In Memoriam Wreath</t>
  </si>
  <si>
    <t>Devotion is expressed and beautiful memories cherished with this deep-hued and softly elegant wreath. A lovely reminder of your affection and respect.&lt;br&gt;&lt;br&gt;A mix of dramatic flowers such as purple orchids and asters, orange, dark pink and lavender roses, pink and peach carnations, lavender larkspur, green chrysanthemums, and a range of pink blooms including oriental lilies, gerberas, snapdragons and more. Please note: Arrangement does not include picture frame.&lt;br&gt;&lt;br&gt;Approximately: 26" W x 31" H&lt;br&gt;&lt;br&gt;Orientation: One-Sided&lt;br&gt;&lt;br&gt;&lt;span style="color: #6aa84f;"&gt;&lt;strong&gt;Free Delivery!&lt;/strong&gt;&lt;/span&gt;</t>
  </si>
  <si>
    <t>T253-1A</t>
  </si>
  <si>
    <t>https://cdn.shopify.com/s/files/1/0790/8529/products/T253-1A.jpeg?v=1425992785</t>
  </si>
  <si>
    <t>(display image: In Memoriam Wreath)</t>
  </si>
  <si>
    <t>Rainbow Reflections Basket</t>
  </si>
  <si>
    <t>Soft and soothing. This basket is overflowing with pastel flowers and your sincere message of hope to those in mourning. &lt;br&gt;&lt;br&gt;Beautiful flowers such as pink carnations and alstroemeria, lavender button and daisy spray chrysanthemums along with white cushion spray chrysanthemums and more fill a lovely round wicker basket.&lt;br&gt;&lt;br&gt;Approximately: 25" W x 21" H &lt;br&gt;&lt;br&gt;Orientation: One-Sided&lt;br&gt;&lt;br&gt;&lt;span style="color: #6aa84f;"&gt;&lt;strong&gt;Free Delivery!&lt;/strong&gt;&lt;/span&gt;</t>
  </si>
  <si>
    <t>T252-1A</t>
  </si>
  <si>
    <t>https://cdn.shopify.com/s/files/1/0790/8529/products/T252-1A.jpeg?v=1425992784</t>
  </si>
  <si>
    <t>(display image: Rainbow Reflections Basket)</t>
  </si>
  <si>
    <t>Joyful Memory</t>
  </si>
  <si>
    <t>Lavender and white sympathy flowers make a grand statement in this joyful bouquet. Cherish your memories with this lasting remembrance of lavender larkspur and roses, deep purple asters, pure white gladioli and the softest pink heather.&lt;br&gt;&lt;br&gt;A classic assortment of flowers such as lavender larkspur, stock and roses, plus purple asters, white gladioli and pink heather.&lt;br&gt;&lt;br&gt;Approximately: 20" W x 32" H &lt;br&gt;&lt;br&gt;Orientation: One-Sided&lt;br&gt;&lt;br&gt;&lt;span style="color: #6aa84f;"&gt;&lt;strong&gt;Free Delivery!&lt;/strong&gt;&lt;/span&gt;</t>
  </si>
  <si>
    <t>T251-1A</t>
  </si>
  <si>
    <t>https://cdn.shopify.com/s/files/1/0790/8529/products/T251-1A.jpeg?v=1425992783</t>
  </si>
  <si>
    <t>(display image: Joyful Memory)</t>
  </si>
  <si>
    <t>The Endless Sky Spray</t>
  </si>
  <si>
    <t>Lavender blooms and lush velvet greenery evoke a celebration of a life well lived.&lt;br&gt;&lt;br&gt;A lovely mix of flowers such as lavender roses, chrysanthemums, statice and asters are beautifully complemented by glossy green aspidistra leaves, fern and fragrant eucalyptus.&lt;br&gt;&lt;br&gt;Approximately: 25" W x 54" H&lt;br&gt;&lt;br&gt;Orientation: One-Sided&lt;br&gt;&lt;br&gt;&lt;span style="color: #6aa84f;"&gt;&lt;strong&gt;Free Delivery!&lt;/strong&gt;&lt;/span&gt;</t>
  </si>
  <si>
    <t>T250-2A</t>
  </si>
  <si>
    <t>https://cdn.shopify.com/s/files/1/0790/8529/products/T250-2A.jpeg?v=1425992782</t>
  </si>
  <si>
    <t>(display image: The Endless Sky Spray)</t>
  </si>
  <si>
    <t>Meadows of Memories</t>
  </si>
  <si>
    <t>Soft lavender and green blooms to surround the urn, like a peaceful, contemplative garden.&lt;br&gt;&lt;br&gt;A subdued assortment of flowers such as lavender larkspur, roses and asters are grouped beautifully with the rich greens of cymbidium orchids, chrysanthemums, English boxwood and sword fern. Please note: arrangement does not include urn.&lt;br&gt;&lt;br&gt;Approximately: 23 1/2" W x 20" H &lt;br&gt;&lt;br&gt;Orientation: One-Sided&lt;br&gt;&lt;br&gt;&lt;span style="color: #6aa84f;"&gt;&lt;strong&gt;Free Delivery!&lt;/strong&gt;&lt;/span&gt;</t>
  </si>
  <si>
    <t>T250-1A</t>
  </si>
  <si>
    <t>https://cdn.shopify.com/s/files/1/0790/8529/products/T250-1A.jpeg?v=1425992780</t>
  </si>
  <si>
    <t>(display image: Meadows of Memories)</t>
  </si>
  <si>
    <t>Sacred Garden Spray</t>
  </si>
  <si>
    <t>A lovely lavender spray of flowers lets you share your compassion, hope and beauty with all. Beautifully simple. Beautifully serene. It's the perfect way to send your sincere sympathy. &lt;br&gt;&lt;br&gt;Lavender, purple and white flowers like hydrangea, orchids, roses, oriental lilies and more create a beautiful spray. A wonderful tribute.&lt;br&gt;&lt;br&gt;Approximately: 26" W x 51" H &lt;br&gt;&lt;br&gt;Orientation: One-Sided&lt;br&gt;&lt;br&gt;&lt;span style="color: #6aa84f;"&gt;&lt;strong&gt;Free Delivery!&lt;/strong&gt;&lt;/span&gt;</t>
  </si>
  <si>
    <t>T249-4A</t>
  </si>
  <si>
    <t>https://cdn.shopify.com/s/files/1/0790/8529/products/T249-4A.jpeg?v=1425992779</t>
  </si>
  <si>
    <t>(display image: Sacred Garden Spray)</t>
  </si>
  <si>
    <t>Bright and Beautiful Spray</t>
  </si>
  <si>
    <t>Reflecting the many colors of life, a rich spectrum of blooms evokes the range of emotions experienced in remembering a cherished loved one. &lt;br&gt;&lt;br&gt;A lovely assortment of flowers such as lavender gladioli and cushion spray chrysanthemums, yellow snapdragons, carnations and daisy spray chrysanthemums, hot pink roses, purple hydrangea, asters and assorted greens are all presented on an easel.&lt;br&gt;&lt;br&gt;Approximately: 29" W x 55" H &lt;br&gt;&lt;br&gt;Orientation: One-Sided&lt;br&gt;&lt;br&gt;&lt;span style="color: #6aa84f;"&gt;&lt;strong&gt;Free Delivery!&lt;/strong&gt;&lt;/span&gt;</t>
  </si>
  <si>
    <t>T249-3A</t>
  </si>
  <si>
    <t>https://cdn.shopify.com/s/files/1/0790/8529/products/T249-3A.jpeg?v=1425992778</t>
  </si>
  <si>
    <t>(display image: Bright and Beautiful Spray)</t>
  </si>
  <si>
    <t>Pink Tribute Spray</t>
  </si>
  <si>
    <t>With a bounty of lovely pink flowers and simple greens, this pretty spray lets you express your sympathy beautifully. Splendid pink, hot pink and light pink flowers such as alstroemeria, gladioli, carnations, asters and more create a display that is warm and loving.&lt;br&gt;&lt;br&gt;Approximately: 22" W x 31 1/2" H &lt;br&gt;&lt;br&gt;Orientation: One-Sided&lt;br&gt;&lt;br&gt;&lt;span style="color: #6aa84f;"&gt;&lt;strong&gt;Free Delivery!&lt;/strong&gt;&lt;/span&gt;</t>
  </si>
  <si>
    <t>T249-2A</t>
  </si>
  <si>
    <t>https://cdn.shopify.com/s/files/1/0790/8529/products/T249-2A.jpeg?v=1425992777</t>
  </si>
  <si>
    <t>(display image: Pink Tribute Spray)</t>
  </si>
  <si>
    <t>Sweet Solace Spray</t>
  </si>
  <si>
    <t>Rejoice with this softly dramatic cascade of pink and yellow blooms - lilies, gladioli and chrysanthemums - that has hints of eucalyptus and variegated greens. Stems of flowers such as pink lilies, gladioli and carnations with yellow snapdragons, and daisy spray mums, accented by variegated greens and eucalyptus.&lt;br&gt;&lt;br&gt;Approximately: 38" W x 43" H &lt;br&gt;&lt;br&gt;Orientation: One-Sided&lt;br&gt;&lt;br&gt;&lt;span style="color: #6aa84f;"&gt;&lt;strong&gt;Free Delivery!&lt;/strong&gt;&lt;/span&gt;</t>
  </si>
  <si>
    <t>T249-1A</t>
  </si>
  <si>
    <t>https://cdn.shopify.com/s/files/1/0790/8529/products/T249-1A.jpeg?v=1425992776</t>
  </si>
  <si>
    <t>(display image: Sweet Solace Spray)</t>
  </si>
  <si>
    <t>Finest Farewell Spray</t>
  </si>
  <si>
    <t>Utterly feminine, this spray is an extraordinarily beautiful way to bid farewell to someone who will remain forever in your heart. A bevy of lovely lavender flowers will soothe souls and deliver strength and hope to those in mourning. &lt;br&gt;&lt;br&gt;Beautiful flowers such as lavender, purple and pink blossoms including roses, larkspur, alstroemeria and more are beautifully arranged. A pretty pink organza ribbon completes this fine farewell.&lt;br&gt;&lt;br&gt;Approximately: 22" W x 50" H &lt;br&gt;&lt;br&gt;Orientation: One-Sided&lt;br&gt;&lt;br&gt;&lt;span style="color: #6aa84f;"&gt;&lt;strong&gt;Free Delivery!&lt;/strong&gt;&lt;/span&gt;</t>
  </si>
  <si>
    <t>T248-2A</t>
  </si>
  <si>
    <t>https://cdn.shopify.com/s/files/1/0790/8529/products/T248-2A.jpeg?v=1425992775</t>
  </si>
  <si>
    <t>(display image: Finest Farewell Spray)</t>
  </si>
  <si>
    <t>Heavenly Grace Spray</t>
  </si>
  <si>
    <t>A sublime garden of rich yet subtle hues is a touching tribute to a lifetime of memories and special moments as varied and dear as this palette of blooms. &lt;br&gt;&lt;br&gt;A lovely assortment of flowers such as pink roses, larkspur, asiatic lilies, gerberas and sinuata statice, with peach roses and carnations, purple stock and limonium, and bells of Ireland on a classic easel.&lt;br&gt;&lt;br&gt;Approximately: 23" W x 30" H &lt;br&gt;&lt;br&gt;Orientation: One-Sided&lt;br&gt;&lt;br&gt;&lt;span style="color: #6aa84f;"&gt;&lt;strong&gt;Free Delivery!&lt;/strong&gt;&lt;/span&gt;</t>
  </si>
  <si>
    <t>T248-1A</t>
  </si>
  <si>
    <t>https://cdn.shopify.com/s/files/1/0790/8529/products/T248-1A.jpeg?v=1425992773</t>
  </si>
  <si>
    <t>(display image: Heavenly Grace Spray)</t>
  </si>
  <si>
    <t>Heavenly Sentiments Spray</t>
  </si>
  <si>
    <t>Fresh roses and opulent blooms such as orchids and gladioli - in celestial colors of green, purple and lavender - create a fine and appropriate floral standing spray. Send this gift as a representation of your thoughtfulness and devotion. &lt;br&gt;&lt;br&gt;A standing spray created from fresh flowers such as gladioli, roses, dendrobium orchids and hydrangea - in shades of green, purple and lavender - is delivered on an easel.&lt;br&gt;&lt;br&gt;Approximately: 24" W x 35" H &lt;br&gt;&lt;br&gt;Orientation: One-Sided&lt;br&gt;&lt;br&gt;&lt;span style="color: #6aa84f;"&gt;&lt;strong&gt;Free Delivery!&lt;/strong&gt;&lt;/span&gt;</t>
  </si>
  <si>
    <t>T247-2A</t>
  </si>
  <si>
    <t>https://cdn.shopify.com/s/files/1/0790/8529/products/T247-2A.jpeg?v=1425992772</t>
  </si>
  <si>
    <t>(display image: Heavenly Sentiments Spray)</t>
  </si>
  <si>
    <t>Heaven's Comfort</t>
  </si>
  <si>
    <t>A life-affirming gift of faith and hope is always appreciated in a family's darkest hours. &lt;br&gt;&lt;br&gt;This elegant cross delivers that message in a way that will touch many hearts. Green hydrangea along with a dazzling mix of exotic green flowers and leaves create a beautiful and textured cross, delivered on an easel.&lt;br&gt;&lt;br&gt;Approximately: 22" W x 35" H &lt;br&gt;&lt;br&gt;Orientation: One-Sided&lt;br&gt;&lt;br&gt;&lt;span style="color: #6aa84f;"&gt;&lt;strong&gt;Free Delivery!&lt;/strong&gt;&lt;/span&gt;</t>
  </si>
  <si>
    <t>T247-1A</t>
  </si>
  <si>
    <t>https://cdn.shopify.com/s/files/1/0790/8529/products/T247-1A.jpeg?v=1425992771</t>
  </si>
  <si>
    <t>(display image: Heaven's Comfort)</t>
  </si>
  <si>
    <t>Rays of Light Spray</t>
  </si>
  <si>
    <t>This stunning spray is a beautiful and touching display of your sympathy and devotion.&lt;br&gt;&lt;br&gt;A lovely composition of flowers such as green roses, gladioli and button spray chrysanthemums, pink spray roses and carnations, light pink oriental lilies and snapdragons are arranged with a mix of beautiful greenery in a standing spray of flowers that's delivered on an easel.&lt;br&gt;&lt;br&gt;Approximately: 29" W x 46" H&lt;br&gt;&lt;br&gt;Orientation: One-Sided&lt;br&gt;&lt;br&gt;&lt;span style="color: #6aa84f;"&gt;&lt;strong&gt;Free Delivery!&lt;/strong&gt;&lt;/span&gt;</t>
  </si>
  <si>
    <t>T246-4A</t>
  </si>
  <si>
    <t>https://cdn.shopify.com/s/files/1/0790/8529/products/T246-4A.jpeg?v=1425992770</t>
  </si>
  <si>
    <t>(display image: Rays of Light Spray)</t>
  </si>
  <si>
    <t>Gerberas and Palms Spray</t>
  </si>
  <si>
    <t>Convey your respect and admiration with this spray of striking red and white funeral flowers. Red gerberas and carnations complement white orchids, snapdragons and chrysanthemums, all set against the deep greens of tropical palm leaves.&lt;br&gt;&lt;br&gt;_x000D_Includes breathtaking flowers such as red gerberas and carnations, white orchids, snapdragons and chrysanthemums, plus tropical palm leaves and ferns.&lt;br&gt;&lt;br&gt;Approximately 26" W x 46" H&lt;br&gt;&lt;br&gt;Orientation:One-Sided&lt;br&gt;&lt;br&gt;&lt;span style="color: #6aa84f;"&gt;&lt;strong&gt;Free Delivery!&lt;/strong&gt;&lt;/span&gt;</t>
  </si>
  <si>
    <t>T246-3A</t>
  </si>
  <si>
    <t>https://cdn.shopify.com/s/files/1/0790/8529/products/T246-3A.jpeg?v=1425992769</t>
  </si>
  <si>
    <t>(display image: Gerberas and Palms Spray)</t>
  </si>
  <si>
    <t>Ocean Breeze Spray</t>
  </si>
  <si>
    <t>Express deep condolences and strong hopes for the future with an elegant tribute that conveys admiration, affection and respect. Lovely flowers such as white asiatic lilies and roses blend with blue delphinium and hydrangea, set amidst ferns.&lt;br&gt;&lt;br&gt;Approximately: 21" W x 39" H &lt;br&gt;&lt;br&gt;Orientation: One-Sided&lt;br&gt;&lt;br&gt;&lt;span style="color: #6aa84f;"&gt;&lt;strong&gt;Free Delivery!&lt;/strong&gt;&lt;/span&gt;</t>
  </si>
  <si>
    <t>T246-2A</t>
  </si>
  <si>
    <t>https://cdn.shopify.com/s/files/1/0790/8529/products/T246-2A.jpeg?v=1425992767</t>
  </si>
  <si>
    <t>(display image: Ocean Breeze Spray)</t>
  </si>
  <si>
    <t>Elegant Tribute Spray</t>
  </si>
  <si>
    <t>While beautiful and striking gladioli often symbolize strength and dignity, this dazzling coral display acknowledges a passion for living life to its fullest. A message that will surely be appreciated by anyone mourning a loved one.&lt;br&gt;&lt;br&gt;Beautiful coral gladioli are arranged with pittosporum, salal and red ti leaves to create a spray of flowers that delivers beauty and strength.&lt;br&gt;&lt;br&gt;Approximately: 32" W x 37" H &lt;br&gt;&lt;br&gt;Orientation: One-Sided&lt;br&gt;&lt;br&gt;&lt;span style="color: #6aa84f;"&gt;&lt;strong&gt;Free Delivery!&lt;/strong&gt;&lt;/span&gt;</t>
  </si>
  <si>
    <t>T246-1A</t>
  </si>
  <si>
    <t>https://cdn.shopify.com/s/files/1/0790/8529/products/T246-1A.jpeg?v=1425992766</t>
  </si>
  <si>
    <t>(display image: Elegant Tribute Spray)</t>
  </si>
  <si>
    <t>Tropical Tribute Spray</t>
  </si>
  <si>
    <t>Tropical highlights balance with lush earth tones to offer hope and encourage reflection - a vivid spray that expresses deep and generous tribute.&lt;br&gt;&lt;br&gt;A breathtaking assortment of flowers such as yellow asiatic lilies with orange orchids and roses, red gladioli and protea, and yellow chrysanthemums, delivered on an easel.&lt;br&gt;&lt;br&gt;Approximately: 29" W x 46" H&lt;br&gt;&lt;br&gt;Orientation: One-Sided&lt;br&gt;&lt;br&gt;&lt;span style="color: #6aa84f;"&gt;&lt;strong&gt;Free Delivery!&lt;/strong&gt;&lt;/span&gt;</t>
  </si>
  <si>
    <t>T245-1A</t>
  </si>
  <si>
    <t>https://cdn.shopify.com/s/files/1/0790/8529/products/T245-1A.jpeg?v=1425992765</t>
  </si>
  <si>
    <t>(display image: Tropical Tribute Spray)</t>
  </si>
  <si>
    <t>Island Memories Casket Spray</t>
  </si>
  <si>
    <t>Graceful and fresh, this tropical-influenced spray sheds light on memories that will be forever treasured. Splashed with color and grounded with earth tones, it lends comfort and hope to any memorial. &lt;br&gt;&lt;br&gt;Yellow asiatic lilies with orange orchids and roses, red gladioli, pink protea and yellow chrysanthemums are draped across the casket amidst radiating ferns, greens and leaves.&lt;br&gt;&lt;br&gt;Approximately: 40" W x 22 1/2" H &lt;br&gt;&lt;br&gt;&lt;span style="color: #6aa84f;"&gt;&lt;strong&gt;Free Delivery!&lt;/strong&gt;&lt;/span&gt;</t>
  </si>
  <si>
    <t>T244-3A</t>
  </si>
  <si>
    <t>https://cdn.shopify.com/s/files/1/0790/8529/products/T244-3A.jpeg?v=1425992764</t>
  </si>
  <si>
    <t>(display image: Island Memories Casket Spray)</t>
  </si>
  <si>
    <t>River Cane Cross</t>
  </si>
  <si>
    <t>Acknowledging deep devotion, this unique cross is a simply stunning way to honor the deceased, while delivering a message of faith and hope to the mourning. A natural river cane cross is adorned with a brilliant display of flowers and greenery, such as orange mokara orchids, roses and spray roses, green ti leaves, umbrella and sword fern and galax leaves, all in an arrangement that is as exceptional as it is beautiful.&lt;br&gt;&lt;br&gt;Approximately: 28" W x 51" H &lt;br&gt;&lt;br&gt;Orientation: One-Sided&lt;br&gt;&lt;br&gt;&lt;span style="color: #6aa84f;"&gt;&lt;strong&gt;Free Delivery!&lt;/strong&gt;&lt;/span&gt;</t>
  </si>
  <si>
    <t>T244-2A</t>
  </si>
  <si>
    <t>https://cdn.shopify.com/s/files/1/0790/8529/products/T244-2A.jpeg?v=1425992762</t>
  </si>
  <si>
    <t>(display image: River Cane Cross)</t>
  </si>
  <si>
    <t>Teleflora's Sentimental Dreams</t>
  </si>
  <si>
    <t>A vivid tribute to warm memories and warmer emotions, this orange and gold arrangement celebrates a spirited individual and a life well lived.&lt;br&gt;&lt;br&gt;_x000D_Bright flowers such as orange roses, gerberas and gladioli, along with myrtle and magnolia leaves are arranged in an exclusive Noble Heritage urn.&lt;br&gt;&lt;br&gt;Approximately 20" W x 38" H&lt;br&gt;&lt;br&gt;Orientation:One-Sided&lt;br&gt;&lt;br&gt;&lt;span style="color: #6aa84f;"&gt;&lt;strong&gt;Free Delivery!&lt;/strong&gt;&lt;/span&gt;</t>
  </si>
  <si>
    <t>T244-1A</t>
  </si>
  <si>
    <t>https://cdn.shopify.com/s/files/1/0790/8529/products/T244-1A.jpeg?v=1425992761</t>
  </si>
  <si>
    <t>(display image: Teleflora's Sentimental Dreams)_x000D_Teleflora's Sentimental Dreams)</t>
  </si>
  <si>
    <t>Golden Garden Casket Spray</t>
  </si>
  <si>
    <t>An abundant field of assorted yellow flowers evokes a summer's day and warming sunshine, offering comfort and hope during a time of loss. It's a beautiful tribute to golden memories.&lt;br&gt;&lt;br&gt;_x000D_Yellow flowers such as roses, carnations, chrysanthemums, snapdragons and solidago, set with huckleberry and leatherleaf fern create a vivid full-couch casket spray.&lt;br&gt;&lt;br&gt;Approximately 64" W x 16" H&lt;br&gt;&lt;br&gt;Orientation:N/A&lt;br&gt;&lt;br&gt;&lt;span style="color: #6aa84f;"&gt;&lt;strong&gt;Free Delivery!&lt;/strong&gt;&lt;/span&gt;</t>
  </si>
  <si>
    <t>T243-1A</t>
  </si>
  <si>
    <t>https://cdn.shopify.com/s/files/1/0790/8529/products/T243-1A.jpeg?v=1425992760</t>
  </si>
  <si>
    <t>(display image: Golden Garden Casket Spray)</t>
  </si>
  <si>
    <t>Bountiful Memories Casket Spray</t>
  </si>
  <si>
    <t>Matching luminous all white flowers and delicate garden greenery is an elegantly simple way to lend serenity and quiet strength to the bereaved during a time of great reflection, and pay tribute to the deceased with affection and grace.&lt;br&gt;&lt;br&gt;_x000D_Flowers such as pure white oriental lilies, gladioli, carnations and stock blend with fragrant greens to create a beautiful crescent-shaped half-casket spray.&lt;br&gt;&lt;br&gt;Approximately 49" W x 27" H&lt;br&gt;&lt;br&gt;Orientation:N/A&lt;br&gt;&lt;br&gt;&lt;span style="color: #6aa84f;"&gt;&lt;strong&gt;Free Delivery!&lt;/strong&gt;&lt;/span&gt;</t>
  </si>
  <si>
    <t>T242-4A</t>
  </si>
  <si>
    <t>https://cdn.shopify.com/s/files/1/0790/8529/products/T242-4A.jpeg?v=1425992759</t>
  </si>
  <si>
    <t>(display image: Bountiful Memories Casket Spray)</t>
  </si>
  <si>
    <t>Strength and Wisdom Casket Spray</t>
  </si>
  <si>
    <t>This beautiful red and white spray will deliver strength and the wisdom to know that there will be brighter days ahead. &lt;br&gt;&lt;br&gt;Dazzling red roses and gerberas, brilliant white chrysanthemums and larkspur are arranged with gentle greens to create a strong yet soothing arrangement.&lt;br&gt;&lt;br&gt;Approximately: 39" W x 21" H &lt;br&gt;&lt;br&gt;&lt;span style="color: #6aa84f;"&gt;&lt;strong&gt;Free Delivery!&lt;/strong&gt;&lt;/span&gt;</t>
  </si>
  <si>
    <t>T242-3A</t>
  </si>
  <si>
    <t>https://cdn.shopify.com/s/files/1/0790/8529/products/T242-3A.jpeg?v=1425992757</t>
  </si>
  <si>
    <t>(display image: Strength and Wisdom Casket Spray)</t>
  </si>
  <si>
    <t>Adoration Casket Spray</t>
  </si>
  <si>
    <t>This classic half-couch spray of brilliant red carnations makes a striking and dignified statement. &lt;br&gt;&lt;br&gt;Radiant red carnations and miniature carnations accented by fresh greenery arrive in a lovely spray.&lt;br&gt;&lt;br&gt;Approximately: 36" W x 27" H &lt;br&gt;&lt;br&gt;&lt;span style="color: #6aa84f;"&gt;&lt;strong&gt;Free Delivery!&lt;/strong&gt;&lt;/span&gt;</t>
  </si>
  <si>
    <t>T242-2A</t>
  </si>
  <si>
    <t>https://cdn.shopify.com/s/files/1/0790/8529/products/T242-2A.jpeg?v=1425992756</t>
  </si>
  <si>
    <t>(display image: Adoration Casket Spray)</t>
  </si>
  <si>
    <t>Graceful Grandeur Casket Spray</t>
  </si>
  <si>
    <t>Joyous times and golden memories are recalled with this lovely half-couch casket spray that consoles the bereaved with a sunny array of beautiful blooms. &lt;br&gt;&lt;br&gt;A bevy of yellow blossoms such as roses, gladioli, chrysanthemums and more are perfectly arranged in this lovely casket spray.&lt;br&gt;&lt;br&gt;Approximately: 44" W x 22" H &lt;br&gt;&lt;br&gt;&lt;span style="color: #6aa84f;"&gt;&lt;strong&gt;Free Delivery!&lt;/strong&gt;&lt;/span&gt;</t>
  </si>
  <si>
    <t>T242-1A</t>
  </si>
  <si>
    <t>https://cdn.shopify.com/s/files/1/0790/8529/products/T242-1A.jpeg?v=1425992755</t>
  </si>
  <si>
    <t>(display image: Graceful Grandeur Casket Spray)</t>
  </si>
  <si>
    <t>Reflections of Glory Wreath</t>
  </si>
  <si>
    <t>A stunning display of patriotism, strength and sympathy. This red, white and blue wreath delivers a lovely message about the dignity of the deceased.&lt;br&gt;&lt;br&gt;A lovely array of flowers such as blue hydrangea, red roses and spray roses, delicate blue delphinium, red gladioli, white cushion spray chrysanthemums and more create a circle of serene beauty.&lt;br&gt;&lt;br&gt;Approximately: 24 1/2" W x 24 1/2" H&lt;br&gt;&lt;br&gt;Orientation: One-Sided&lt;br&gt;&lt;br&gt;&lt;span style="color: #6aa84f;"&gt;&lt;strong&gt;Free Delivery!&lt;/strong&gt;&lt;/span&gt;</t>
  </si>
  <si>
    <t>T241-1A</t>
  </si>
  <si>
    <t>https://cdn.shopify.com/s/files/1/0790/8529/products/T241-1A.jpeg?v=1425992754</t>
  </si>
  <si>
    <t>(display image: Reflections of Glory Wreath)</t>
  </si>
  <si>
    <t>Distinguished Service Casket Spray</t>
  </si>
  <si>
    <t>A beautifully patriotic way to pay tribute to a loved one. This half-couch spray sends an eloquent message of strength, respect and freedom. &lt;br&gt;&lt;br&gt;Brilliant flowers such as blue hydrangea, red roses, white oriental lilies and much more create this dignified way to honor the deceased.&lt;br&gt;&lt;br&gt;Approximately: 46 1/2" W x 24" H &lt;br&gt;&lt;br&gt;&lt;span style="color: #6aa84f;"&gt;&lt;strong&gt;Free Delivery!&lt;/strong&gt;&lt;/span&gt;</t>
  </si>
  <si>
    <t>T240-3A</t>
  </si>
  <si>
    <t>https://cdn.shopify.com/s/files/1/0790/8529/products/T240-3A.jpeg?v=1425992753</t>
  </si>
  <si>
    <t>(display image: Distinguished Service Casket Spray)</t>
  </si>
  <si>
    <t>Sacred Duty Spray</t>
  </si>
  <si>
    <t>Sparkling like an Independence Day fireworks display, a striking red, white and blue spray stands tall proud and patriotic. Bearing the colors of our nation's flag, it's a grand and fitting tribute to members of the military and American heroes.&lt;br&gt;&lt;br&gt;_x000D_Adorned with yards of multicolored patriotic ribbon, this easel-mounted standing spray features flowers such as red carnations, white asiatic lilies and snapdragons, and blue delphinium, along with an assortment of greens.&lt;br&gt;&lt;br&gt;Approximately 27" W x 42" H&lt;br&gt;&lt;br&gt;Orientation:One-Sided&lt;br&gt;&lt;br&gt;&lt;span style="color: #6aa84f;"&gt;&lt;strong&gt;Free Delivery!&lt;/strong&gt;&lt;/span&gt;</t>
  </si>
  <si>
    <t>T240-2A</t>
  </si>
  <si>
    <t>https://cdn.shopify.com/s/files/1/0790/8529/products/T240-2A.jpeg?v=1425992751</t>
  </si>
  <si>
    <t>(display image: Sacred Duty Spray)</t>
  </si>
  <si>
    <t>With Distinction</t>
  </si>
  <si>
    <t>A dazzling display of patriotic red, white and blue flowers sends a silent yet poignant statement about hope, freedom and the strength to endure. This proud bouquet is a testament to life that is sure to be appreciated. &lt;br&gt;&lt;br&gt;A beautiful mix of all-American red, white and blue flowers such as hydrangea, roses, miniature carnations, snapdragons, chrysanthemums and more are perfectly arranged in a white urn.&lt;br&gt;&lt;br&gt;Approximately: 30 1/2" W x 34 1/2" H &lt;br&gt;&lt;br&gt;Orientation: One-Sided&lt;br&gt;&lt;br&gt;&lt;span style="color: #6aa84f;"&gt;&lt;strong&gt;Free Delivery!&lt;/strong&gt;&lt;/span&gt;</t>
  </si>
  <si>
    <t>T240-1A</t>
  </si>
  <si>
    <t>https://cdn.shopify.com/s/files/1/0790/8529/products/T240-1A.jpeg?v=1425992750</t>
  </si>
  <si>
    <t>(display image: With Distinction)</t>
  </si>
  <si>
    <t>Ringed by Love</t>
  </si>
  <si>
    <t>The memory of brighter days is always a comfort to those in mourning. This lovely wreath will display your compassion beautifully. &lt;br&gt;&lt;br&gt;A standing wreath of dazzling flowers such as green hydrangea, hot pink spray roses, pink gladioli and carnations along with a mÃ­Â©lange of multi-colored daisy spray and cushion spray chrysanthemums and greenery is delivered on an easel.&lt;br&gt;&lt;br&gt;Approximately: 25" W x 25" H &lt;br&gt;&lt;br&gt;Orientation: One-Sided&lt;br&gt;&lt;br&gt;&lt;span style="color: #6aa84f;"&gt;&lt;strong&gt;Free Delivery!&lt;/strong&gt;&lt;/span&gt;</t>
  </si>
  <si>
    <t>T239-4A</t>
  </si>
  <si>
    <t>https://cdn.shopify.com/s/files/1/0790/8529/products/T239-4A.jpeg?v=1425992749</t>
  </si>
  <si>
    <t>(display image: Ringed by Love)</t>
  </si>
  <si>
    <t>Serenity Wreath</t>
  </si>
  <si>
    <t>A ring of fragrant, bright white blossoms will create a serene display at any funeral or wake. This classic wreath is delivered on an easel, and is a thoughtful expression of sympathy and admiration. &lt;br&gt;&lt;br&gt;A standing wreath created from fresh white flowers such as roses, Asiatic lilies, carnations and cushion spray chrysanthemums - accented with greenery - is delivered on an easel.&lt;br&gt;&lt;br&gt;Approximately: 22" W x 22" H &lt;br&gt;&lt;br&gt;Orientation: One-Sided&lt;br&gt;&lt;br&gt;&lt;span style="color: #6aa84f;"&gt;&lt;strong&gt;Free Delivery!&lt;/strong&gt;&lt;/span&gt;</t>
  </si>
  <si>
    <t>T239-3A</t>
  </si>
  <si>
    <t>https://cdn.shopify.com/s/files/1/0790/8529/products/T239-3A.jpeg?v=1425992748</t>
  </si>
  <si>
    <t>(display image: Serenity Wreath)</t>
  </si>
  <si>
    <t>Infinite Love</t>
  </si>
  <si>
    <t>This beautiful wreath stands as a testament to the circle of life that must be acknowledged even in our saddest moments. It will surely be appreciated by all in attendance.&lt;br&gt;&lt;br&gt;Dazzling blooms such as pink hydrangea, hot pink roses and carnations, red roses, spray roses and carnations, burgundy dahlias, dark pink Sweet William, lavender daisy and button spray chrysanthemums along with fern and other fresh greens create a beautiful wreath that comes delivered on an easel.&lt;br&gt;&lt;br&gt;Approximately: 27" W x 27" H&lt;br&gt;&lt;br&gt;Orientation: One-Sided&lt;br&gt;&lt;br&gt;&lt;span style="color: #6aa84f;"&gt;&lt;strong&gt;Free Delivery!&lt;/strong&gt;&lt;/span&gt;</t>
  </si>
  <si>
    <t>T239-2A</t>
  </si>
  <si>
    <t>https://cdn.shopify.com/s/files/1/0790/8529/products/T239-2A.jpeg?v=1425992747</t>
  </si>
  <si>
    <t>(display image: Infinite Love)</t>
  </si>
  <si>
    <t>Graceful Wreath</t>
  </si>
  <si>
    <t>Family and friends will recollect how special their loved one was with this gentle ring of pastel blooms. Highlighted with a pink satin ribbon, it is a lovely reminder of sweet memories and beautiful times shared.&lt;br&gt;&lt;br&gt;_x000D_Peach roses, gerberas and carnations, pink asiatic lilies and lisianthus, along with purple limonium and lavender larkspur - accented by greens woven throughout - are presented on an easel-mounted wreath, ideal for a memorial occasion.&lt;br&gt;&lt;br&gt;Approximately 22 1/2" W x 22 1/2" H&lt;br&gt;&lt;br&gt;Orientation:One-Sided&lt;br&gt;&lt;br&gt;&lt;span style="color: #6aa84f;"&gt;&lt;strong&gt;Free Delivery!&lt;/strong&gt;&lt;/span&gt;</t>
  </si>
  <si>
    <t>Flower Shop, Standing Arrangements, Wreath</t>
  </si>
  <si>
    <t>T239-1A</t>
  </si>
  <si>
    <t>https://cdn.shopify.com/s/files/1/0790/8529/products/T239-1A.jpeg?v=1425992746</t>
  </si>
  <si>
    <t>(display image: Graceful Wreath)</t>
  </si>
  <si>
    <t>Rose Garden Heart</t>
  </si>
  <si>
    <t>A tender and classic tribute to a precious life. Heartfelt emotions and sympathies find delicate expression here. Lovely flowers such as light pink roses, hydrangea and miniature carnations mix with lavender button spray chrysanthemums.&lt;br&gt;&lt;br&gt;Approximately: 18" W x 19" H &lt;br&gt;&lt;br&gt;Orientation: One-Sided&lt;br&gt;&lt;br&gt;&lt;span style="color: #6aa84f;"&gt;&lt;strong&gt;Free Delivery!&lt;/strong&gt;&lt;/span&gt;</t>
  </si>
  <si>
    <t>T238-2A</t>
  </si>
  <si>
    <t>https://cdn.shopify.com/s/files/1/0790/8529/products/T238-2A.jpeg?v=1425992745</t>
  </si>
  <si>
    <t>(display image: Rose Garden Heart)</t>
  </si>
  <si>
    <t>Deepest Faith</t>
  </si>
  <si>
    <t>Pride, dignity, admiration and faith are on beautiful display in this moving sympathy arrangement. &lt;br&gt;&lt;br&gt;It's a meaningful way to deliver your heartfelt message. Beautiful flowers such as lavender roses, carnations and cushion spray chrysanthemums along with fuchsia and purple carnations and button spray chrysanthemums create a dazzling cross that is full of hope and devotion.&lt;br&gt;&lt;br&gt;Approximately: 23" W x 38" H &lt;br&gt;&lt;br&gt;Orientation: One-Sided&lt;br&gt;&lt;br&gt;&lt;span style="color: #6aa84f;"&gt;&lt;strong&gt;Free Delivery!&lt;/strong&gt;&lt;/span&gt;</t>
  </si>
  <si>
    <t>T238-1A</t>
  </si>
  <si>
    <t>https://cdn.shopify.com/s/files/1/0790/8529/products/T238-1A.jpeg?v=1425992744</t>
  </si>
  <si>
    <t>(display image: Deepest Faith)</t>
  </si>
  <si>
    <t>Beautiful Whisper</t>
  </si>
  <si>
    <t>Soft as a whisper, this elegantly feminine vase of delicate pink and white roses, hydrangea and lilies is a simple and heartfelt affirmation of love and devotion.&lt;br&gt;&lt;br&gt; White, creme, and light pink roses nestled with hydrangea, lilies, Queen Anne's lace, bouvardia and dusty miller in a classic clear-glass cinched hurricane vase.&lt;br&gt;&lt;br&gt;Approximately: 15 1/2" W x 15 1/2" H&lt;br&gt;&lt;br&gt;Orientation: All-Around&lt;br&gt;&lt;br&gt;&lt;span style="color: #6aa84f;"&gt;&lt;strong&gt;Free Delivery!&lt;/strong&gt;&lt;/span&gt;</t>
  </si>
  <si>
    <t>T237-1A</t>
  </si>
  <si>
    <t>https://cdn.shopify.com/s/files/1/0790/8529/products/T237-1A.jpeg?v=1425992742</t>
  </si>
  <si>
    <t>(display image: Beautiful Whisper)</t>
  </si>
  <si>
    <t>Always Adored Casket Spray</t>
  </si>
  <si>
    <t>A beautiful spray of soft pink, white and creme blooms ease the burden of loss. &lt;br&gt;&lt;br&gt;Pink hydrangea, larkspur and roses mingle with white roses, stock and waxflower. Ivy, fern and fragrant eucalyptus act as green accents in this spray that rests atop the casket.&lt;br&gt;&lt;br&gt;Approximately: 66" W x 28" H &lt;br&gt;&lt;br&gt;&lt;span style="color: #6aa84f;"&gt;&lt;strong&gt;Free Delivery!&lt;/strong&gt;&lt;/span&gt;</t>
  </si>
  <si>
    <t>T236-3A</t>
  </si>
  <si>
    <t>https://cdn.shopify.com/s/files/1/0790/8529/products/T236-3A.jpeg?v=1425992741</t>
  </si>
  <si>
    <t>(display image: Always Adored Casket Spray)</t>
  </si>
  <si>
    <t>Dawn of Remembrance Basket</t>
  </si>
  <si>
    <t>To offer comfort and consolation, these serene, softly colored roses and chrysanthemums are nestled in a round white basket with handle. &lt;br&gt;&lt;br&gt;Satin ribbon is threaded throughout to complement the soft look. Beautiful blooms such as white and light pink roses with white larkspur, white mums and silvery dusty miller. Arranged in a white handled basket and accented with satin ribbon.&lt;br&gt;&lt;br&gt;Approximately: 25" W x 12 1/2" H &lt;br&gt;&lt;br&gt;Orientation: All-Around&lt;br&gt;&lt;br&gt;&lt;span style="color: #6aa84f;"&gt;&lt;strong&gt;Free Delivery!&lt;/strong&gt;&lt;/span&gt;</t>
  </si>
  <si>
    <t>T236-2A</t>
  </si>
  <si>
    <t>https://cdn.shopify.com/s/files/1/0790/8529/products/T236-2A.jpeg?v=1425992740</t>
  </si>
  <si>
    <t>(display image: Dawn of Remembrance Basket)</t>
  </si>
  <si>
    <t>Peace Eternal Wreath</t>
  </si>
  <si>
    <t>A breathtaking expression of love and devotion, this lovely wreath delivers a message that is both subtle and strong. Its soft pastel blossoms will soothe, while its extraordinary beauty will express the depth of your emotions.&lt;br&gt;&lt;br&gt;Gorgeous pink hydrangea, crÃ­Â©me roses, light pink spray roses, white chrysanthemums, waxflower and more are adorned by pink organza ribbon in this eternal circle of peace.&lt;br&gt;&lt;br&gt;Approximately: 24 1/2" W x 24 1/2" H&lt;br&gt;&lt;br&gt;Orientation: One-Sided&lt;br&gt;&lt;br&gt;&lt;span style="color: #6aa84f;"&gt;&lt;strong&gt;Free Delivery!&lt;/strong&gt;&lt;/span&gt;</t>
  </si>
  <si>
    <t>T236-1A</t>
  </si>
  <si>
    <t>https://cdn.shopify.com/s/files/1/0790/8529/products/T236-1A.jpeg?v=1425992739</t>
  </si>
  <si>
    <t>(display image: Peace Eternal Wreath)</t>
  </si>
  <si>
    <t>Lavender Tribute Casket Spray</t>
  </si>
  <si>
    <t>Like a heartfelt embrace, this beautiful casket spray delivers comfort and love in an extraordinary way. A wonderful array of lavender and pink flowers with just the right amount of greenery is a lovely way to pay tribute to someone who will always be with you in heart, mind and spirit. &lt;br&gt;&lt;br&gt;Lovely lavender and pink roses, snapdragons, alstroemeria, chrysanthemums, fern, eucalyptus and more create this tribute that is overflowing with grace and love.&lt;br&gt;&lt;br&gt;Approximately: 51" W x 22" H &lt;br&gt;&lt;br&gt;&lt;span style="color: #6aa84f;"&gt;&lt;strong&gt;Free Delivery!&lt;/strong&gt;&lt;/span&gt;</t>
  </si>
  <si>
    <t>T235-2A</t>
  </si>
  <si>
    <t>https://cdn.shopify.com/s/files/1/0790/8529/products/T235-2A.jpeg?v=1425992738</t>
  </si>
  <si>
    <t>(display image: Lavender Tribute Casket Spray)</t>
  </si>
  <si>
    <t>Gracious Lavender Basket</t>
  </si>
  <si>
    <t>Soothing lavender, respectful purple and compassionate pinks are combined beautifully in this basket overflowing with pretty flowers, sincerity and sympathy. A lovely way to share your thoughts and pay tribute to someone special. &lt;br&gt;&lt;br&gt;A profusion of purple, pink and lavender blooms such as roses, carnations, larkspur, matsumoto and monte cassino asters and much more are delivered in a round wicker basket.&lt;br&gt;&lt;br&gt;Approximately: 24 1/2" W x 28" H &lt;br&gt;&lt;br&gt;Orientation: One-Sided&lt;br&gt;&lt;br&gt;&lt;span style="color: #6aa84f;"&gt;&lt;strong&gt;Free Delivery!&lt;/strong&gt;&lt;/span&gt;</t>
  </si>
  <si>
    <t>T235-1A</t>
  </si>
  <si>
    <t>https://cdn.shopify.com/s/files/1/0790/8529/products/T235-1A.jpeg?v=1425992737</t>
  </si>
  <si>
    <t>(display image: Gracious Lavender Basket)</t>
  </si>
  <si>
    <t>Touching Tribute Spray</t>
  </si>
  <si>
    <t>Vivid hues of pink, lavender and purple are a tribute to her spirit and beauty, an expressive reminder of so many cherished memories and unforgettable times.&lt;br&gt;&lt;br&gt;_x000D_Beautiful fresh flowers such as pink roses, oriental lilies and gladioli blend with purple stock, lavender carnations and fragrant greens.&lt;br&gt;&lt;br&gt;Approximately 22" W x 56" H&lt;br&gt;&lt;br&gt;Orientation:One-Sided&lt;br&gt;&lt;br&gt;&lt;span style="color: #6aa84f;"&gt;&lt;strong&gt;Free Delivery!&lt;/strong&gt;&lt;/span&gt;</t>
  </si>
  <si>
    <t>T234-1A</t>
  </si>
  <si>
    <t>https://cdn.shopify.com/s/files/1/0790/8529/products/T234-1A.jpeg?v=1425992735</t>
  </si>
  <si>
    <t>(display image: Touching Tribute Spray)</t>
  </si>
  <si>
    <t>Bountiful Rose Basket</t>
  </si>
  <si>
    <t>A beautiful, bountiful basket of luminous white roses that feels so fresh, natural, and welcomed in a home or at a service. &lt;br&gt;&lt;br&gt;White and creme roses with fragrant seeded eucalyptus beautifully presented in a large basket.&lt;br&gt;&lt;br&gt;Approximately: 25" W x 20 1/2" H &lt;br&gt;&lt;br&gt;Orientation: One-Sided&lt;br&gt;&lt;br&gt;&lt;span style="color: #6aa84f;"&gt;&lt;strong&gt;Free Delivery!&lt;/strong&gt;&lt;/span&gt;</t>
  </si>
  <si>
    <t>T233-1A</t>
  </si>
  <si>
    <t>https://cdn.shopify.com/s/files/1/0790/8529/products/T233-1A.jpeg?v=1425992734</t>
  </si>
  <si>
    <t>(display image: Bountiful Rose Basket)</t>
  </si>
  <si>
    <t>Silken Serenity Casket Spray</t>
  </si>
  <si>
    <t>A gracious and tender tribute to a beautiful and cherished life, this elegant half casket spray radiates loveliness and serenity. Its soft and heavenly white flowers delicately speak your heartfelt emotions.&lt;br&gt;&lt;br&gt; Lovely flowers such as creme roses, white gladioli, stock and carnations, gracefully arranged with sword fern and other greens.&lt;br&gt;&lt;br&gt;Approximately 43" W x 29" H&lt;br&gt;&lt;br&gt;Orientation:N/A&lt;br&gt;&lt;br&gt;&lt;span style="color: #6aa84f;"&gt;&lt;strong&gt;Free Delivery!&lt;/strong&gt;&lt;/span&gt;</t>
  </si>
  <si>
    <t>T232-3A</t>
  </si>
  <si>
    <t>https://cdn.shopify.com/s/files/1/0790/8529/products/T232-3A.jpeg?v=1425992733</t>
  </si>
  <si>
    <t>(display image: Silken Serenity Casket Spray)</t>
  </si>
  <si>
    <t>Divine Light</t>
  </si>
  <si>
    <t>Your message of hope for eternal serenity is delivered ever so elegantly in this graceful cross. Your sincerity will be acknowledged by all who are present. &lt;br&gt;&lt;br&gt;Creme roses, white spray roses, oriental lilies, stock, leptosporum, cushion and button spray chrysanthemums create a cross that is a beautiful way to honor a loved one.&lt;br&gt;&lt;br&gt;Approximately: 22 1/2" W x 36" H &lt;br&gt;&lt;br&gt;Orientation: One-Sided&lt;br&gt;&lt;br&gt;&lt;span style="color: #6aa84f;"&gt;&lt;strong&gt;Free Delivery!&lt;/strong&gt;&lt;/span&gt;</t>
  </si>
  <si>
    <t>T232-2A</t>
  </si>
  <si>
    <t>https://cdn.shopify.com/s/files/1/0790/8529/products/T232-2A.jpeg?v=1425992732</t>
  </si>
  <si>
    <t>(display image: Divine Light)</t>
  </si>
  <si>
    <t>Love's Journey</t>
  </si>
  <si>
    <t>Send comfort and thoughts of hope for a brighter day with this peaceful basket of white sympathy blooms, and a sweet hint of pink. Gently uplifting, it is perfect for the service.&lt;br&gt;&lt;br&gt; White roses, alstroemeria and larkspur along with pink spray roses are beautifully arranged in a natural-tone wicker basket.&lt;br&gt;&lt;br&gt;Approximately: 18 1/2" W x 14" H&lt;br&gt;&lt;br&gt;Orientation: All-Around&lt;br&gt;&lt;br&gt;&lt;span style="color: #6aa84f;"&gt;&lt;strong&gt;Free Delivery!&lt;/strong&gt;&lt;/span&gt;</t>
  </si>
  <si>
    <t>T232-1A</t>
  </si>
  <si>
    <t>https://cdn.shopify.com/s/files/1/0790/8529/products/T232-1A.jpeg?v=1425992731</t>
  </si>
  <si>
    <t>(display image: Love's Journey)</t>
  </si>
  <si>
    <t>Teleflora's Rose Romanesque Bouquet</t>
  </si>
  <si>
    <t>As touching as it is elegant, this full bouquet of classic red roses is gently set in a graceful glass vase to comfort loved ones and celebrate sweet remembrance.&lt;br&gt;&lt;br&gt;_x000D_Deep red roses nestled with ivy, ming fern and Israeli ruscus, presented in a clear glass Jewel vase.&lt;br&gt;&lt;br&gt;Approximately 19 1/2" W x 20" H&lt;br&gt;&lt;br&gt;Orientation:All-Around&lt;br&gt;&lt;br&gt;&lt;span style="color: #6aa84f;"&gt;&lt;strong&gt;Free Delivery!&lt;/strong&gt;&lt;/span&gt;</t>
  </si>
  <si>
    <t>T231-1A</t>
  </si>
  <si>
    <t>https://cdn.shopify.com/s/files/1/0790/8529/products/T231-1A.jpeg?v=1425992730</t>
  </si>
  <si>
    <t>(display image: Teleflora's Rose Romanesque Bouquet)</t>
  </si>
  <si>
    <t>Red Rose Sanctuary Casket Spray</t>
  </si>
  <si>
    <t>Deep reds and tranquil greens both pay respect and convey heartfelt feelings at a time of loss. Traditional yet timeless, this elegant funeral arrangement is ideal for an open or closed casket.&lt;br&gt;&lt;br&gt;_x000D_Beautiful flowers such as red roses, gerberas, gladioli and carnations set amidst bells of Ireland, sword fern, bupleurum and salal, saddle-mounted for display.&lt;br&gt;&lt;br&gt;Approximately 40" W x 27" H&lt;br&gt;&lt;br&gt;Orientation:N/A&lt;br&gt;&lt;br&gt;&lt;span style="color: #6aa84f;"&gt;&lt;strong&gt;Free Delivery!&lt;/strong&gt;&lt;/span&gt;</t>
  </si>
  <si>
    <t>T230-3A</t>
  </si>
  <si>
    <t>https://cdn.shopify.com/s/files/1/0790/8529/products/T230-3A.jpeg?v=1425992728</t>
  </si>
  <si>
    <t>(display image: Red Rose Sanctuary Casket Spray)</t>
  </si>
  <si>
    <t>Rose Impression</t>
  </si>
  <si>
    <t>An elegant all-red rose bouquet hand-tied with satin ribbon. Heartfelt in its simplicity, it is perfectly paired with soft-green sword fern. Classic red roses hand-tied with generous yards of satin ribbon.&lt;br&gt;&lt;br&gt;Approximately: 23" W x 12" H &lt;br&gt;&lt;br&gt;Orientation: All-Around&lt;br&gt;&lt;br&gt;&lt;span style="color: #6aa84f;"&gt;&lt;strong&gt;Free Delivery!&lt;/strong&gt;&lt;/span&gt;</t>
  </si>
  <si>
    <t>T230-2A</t>
  </si>
  <si>
    <t>https://cdn.shopify.com/s/files/1/0790/8529/products/T230-2A.jpeg?v=1425992727</t>
  </si>
  <si>
    <t>(display image: Rose Impression)</t>
  </si>
  <si>
    <t>Care and Compassion Spray</t>
  </si>
  <si>
    <t>This elegant, all red funeral spray conveys compassion and deep devotion. Presented on a traditional easel, it features a beautiful array of red funeral flowers accented with unique bells of Ireland and other graceful greens.&lt;br&gt;&lt;br&gt;_x000D_Stunning blooms such as red roses, red gladioli and red carnations are accented with bells of Ireland, bupleurum, myrtle and salal on a classic wire easel.&lt;br&gt;&lt;br&gt;Approximately 23" W x 46" H&lt;br&gt;&lt;br&gt;Orientation:One-Sided&lt;br&gt;&lt;br&gt;&lt;span style="color: #6aa84f;"&gt;&lt;strong&gt;Free Delivery!&lt;/strong&gt;&lt;/span&gt;</t>
  </si>
  <si>
    <t>T230-1A</t>
  </si>
  <si>
    <t>https://cdn.shopify.com/s/files/1/0790/8529/products/T230-1A.jpeg?v=1425992726</t>
  </si>
  <si>
    <t>(display image: Care and Compassion Spray)</t>
  </si>
  <si>
    <t>Purity and Peace Casket Spray</t>
  </si>
  <si>
    <t>A stunning yet respectful testament in white, this spray for the casket includes roses, orchids, calla lilies and hydrangea accented by soft, trailing greens. White roses, orchids, large calla lilies and perfect stems of hydrangea.&lt;br&gt;&lt;br&gt;Approximately: 47" W x 17" H.&lt;br&gt;&lt;br&gt;&lt;span style="color: #6aa84f;"&gt;&lt;strong&gt;Free Delivery!&lt;/strong&gt;&lt;/span&gt;</t>
  </si>
  <si>
    <t>T229-3A</t>
  </si>
  <si>
    <t>https://cdn.shopify.com/s/files/1/0790/8529/products/T229-3A.jpeg?v=1425992725</t>
  </si>
  <si>
    <t>(display image: Purity and Peace Casket Spray)</t>
  </si>
  <si>
    <t>Teleflora's Divine Peace Bouquet</t>
  </si>
  <si>
    <t>An elegant display of faith and divine peace, this beautiful arrangement will comfort the bereaved in a truly thoughtful and respectful way. An exquisite crystal cross is surrounded by a bed of lovely blossoms. It is sure to be appreciated and always remembered.&lt;br&gt;&lt;br&gt;A fragrant mix of pure white blooms - including roses, alstroemeria, stock, carnations and waxflower - is accented with dusty miller and variegated pittosporum around an exclusive Crystal Cross keepsake.&lt;br&gt;&lt;br&gt;Approximately: 14 1/2" W x 13 1/2" H&lt;br&gt;&lt;br&gt;Orientation: One-Sided&lt;br&gt;&lt;br&gt;&lt;span style="color: #6aa84f;"&gt;&lt;strong&gt;Free Delivery!&lt;/strong&gt;&lt;/span&gt;</t>
  </si>
  <si>
    <t>T229-2A</t>
  </si>
  <si>
    <t>https://cdn.shopify.com/s/files/1/0790/8529/products/T229-2A.jpeg?v=1425992724</t>
  </si>
  <si>
    <t>(display image: Teleflora's Divine Peace Bouquet)</t>
  </si>
  <si>
    <t>Teleflora's Garden of Serenity Bouquet</t>
  </si>
  <si>
    <t>This serene, all white funeral bouquet features a porcelain likeness of Jesus designed by famed artist Stuart Mark Feldman. A sacred choice to send to the church or funeral home, the religious arrangement evokes divine grace and Christian purity.&lt;br&gt;&lt;br&gt;_x000D_White funeral flowers such as roses, asiatic lilies, stock, snapdragons and freesia are accented with salal, myrtle and pitta negra around a porcelain Sacred Grace keepsake figure.&lt;br&gt;&lt;br&gt;Approximately 15 3/4" W x 22" H&lt;br&gt;&lt;br&gt;Orientation:One-Sided&lt;br&gt;&lt;br&gt;&lt;span style="color: #6aa84f;"&gt;&lt;strong&gt;Free Delivery!&lt;/strong&gt;&lt;/span&gt;</t>
  </si>
  <si>
    <t>T229-1A</t>
  </si>
  <si>
    <t>https://cdn.shopify.com/s/files/1/0790/8529/products/T229-1A.jpeg?v=1425992722</t>
  </si>
  <si>
    <t>(display image: Teleflora's Garden of Serenity Bouquet)</t>
  </si>
  <si>
    <t>Peaceful White Lilies Basket</t>
  </si>
  <si>
    <t>Whether you send this beautiful arrangement to the family home or to the service, all will appreciate its elegance and grace. The contrast of brilliant white blossoms and dazzling greenery create a wonderfully calm and dignified setting.&lt;br&gt;&lt;br&gt;Gorgeous flowers such as white lilies, carnations and miniature carnations mix with vibrant greens in a large basket. Simply stunning.&lt;br&gt;&lt;br&gt;Approximately: 26" W x 25" H &lt;br&gt;&lt;br&gt;Orientation: One-Sided&lt;br&gt;&lt;br&gt;&lt;span style="color: #6aa84f;"&gt;&lt;strong&gt;Free Delivery!&lt;/strong&gt;&lt;/span&gt;</t>
  </si>
  <si>
    <t>T228-1A</t>
  </si>
  <si>
    <t>https://cdn.shopify.com/s/files/1/0790/8529/products/T228-1A.jpeg?v=1425992721</t>
  </si>
  <si>
    <t>(display image: Peaceful White Lilies Basket)</t>
  </si>
  <si>
    <t>Teleflora's Tender Tribute</t>
  </si>
  <si>
    <t>Heavenly white lilies, rich red carnations and gladioli create a touching funeral arrangement or sympathy bouquet for the service.&lt;br&gt;&lt;br&gt;_x000D_This red and white sympathy arrangement includes white asiatic lilies, red gladioli, red carnations, myrtle, sword fern and salal.&lt;br&gt;&lt;br&gt;Approximately 24" W x 34" H&lt;br&gt;&lt;br&gt;Orientation:One-Sided&lt;br&gt;&lt;br&gt;&lt;span style="color: #6aa84f;"&gt;&lt;strong&gt;Free Delivery!&lt;/strong&gt;&lt;/span&gt;</t>
  </si>
  <si>
    <t>T227-1A</t>
  </si>
  <si>
    <t>https://cdn.shopify.com/s/files/1/0790/8529/products/T227-1A.jpeg?v=1425992720</t>
  </si>
  <si>
    <t>(display image: Teleflora's Tender Tribute)</t>
  </si>
  <si>
    <t>Garden of Grandeur Casket Spray</t>
  </si>
  <si>
    <t>A traditional tribute that communicates deep love and eternal commitment. This dramatic red and white casket spray is ideal for a full couch or closed casket, mixing dozens of deep red roses with the pure white beauty of gladioli and stock. &lt;br&gt;&lt;br&gt;Red roses, spray roses and carnations along with graceful white gladioli and stock are arranged beautifully with ivy and salal.&lt;br&gt;&lt;br&gt;Approximately: 75" W x 25" H &lt;br&gt;&lt;br&gt;&lt;span style="color: #6aa84f;"&gt;&lt;strong&gt;Free Delivery!&lt;/strong&gt;&lt;/span&gt;</t>
  </si>
  <si>
    <t>T226-3A</t>
  </si>
  <si>
    <t>https://cdn.shopify.com/s/files/1/0790/8529/products/T226-3A.jpeg?v=1425992718</t>
  </si>
  <si>
    <t>(display image: Garden of Grandeur Casket Spray)</t>
  </si>
  <si>
    <t>Memories to Treasure</t>
  </si>
  <si>
    <t>For the sweet spirits who touch our lives, a classic pairing of red and white that is both vibrant and respectful. Beautifully contained in a white urn. &lt;br&gt;&lt;br&gt;A mix of fresh flowers such as red and white roses, oriental lilies, graceful gladioli, carnations and fragrant eucalyptus. Beautifully presented in a white urn.&lt;br&gt;&lt;br&gt;Approximately: 31" W x 43" H &lt;br&gt;&lt;br&gt;Orientation: One-Sided&lt;br&gt;&lt;br&gt;&lt;span style="color: #6aa84f;"&gt;&lt;strong&gt;Free Delivery!&lt;/strong&gt;&lt;/span&gt;</t>
  </si>
  <si>
    <t>T226-2A</t>
  </si>
  <si>
    <t>https://cdn.shopify.com/s/files/1/0790/8529/products/T226-2A.jpeg?v=1425992717</t>
  </si>
  <si>
    <t>(display image: Memories to Treasure)</t>
  </si>
  <si>
    <t>Lily and Rose Tribute Spray</t>
  </si>
  <si>
    <t>Pure white lilies and dendrobium orchids mingle with red roses, white asiatic lilies and more in this magnificent and impressive standing spray of the finest blooms. A fitting tribute for a funeral, wake or memorial service. &lt;br&gt;&lt;br&gt;A standing spray of lush flowers such as red roses, white dendrobium orchids and asiatic lilies - accented with greenery - is delivered on an easel.&lt;br&gt;&lt;br&gt;Approximately: 31" W x 50" H &lt;br&gt;&lt;br&gt;Orientation: One-Sided&lt;br&gt;&lt;br&gt;&lt;span style="color: #6aa84f;"&gt;&lt;strong&gt;Free Delivery!&lt;/strong&gt;&lt;/span&gt;</t>
  </si>
  <si>
    <t>T226-1A</t>
  </si>
  <si>
    <t>https://cdn.shopify.com/s/files/1/0790/8529/products/T226-1A.jpeg?v=1425992716</t>
  </si>
  <si>
    <t>(display image: Lily and Rose Tribute Spray)</t>
  </si>
  <si>
    <t>Red Rose Reverence Casket Spray</t>
  </si>
  <si>
    <t>The deep red flowers of this red rose casket spray speak to the depth of your loss. Express your love with the simple elegance of this traditional spray, perfectly sized for a half couch or open casket.&lt;br&gt;&lt;br&gt;_x000D_Rich red roses and carnations are combined with salal and green ivy into a dramatic casket spray.&lt;br&gt;&lt;br&gt;Approximately 43" W x 23" H&lt;br&gt;&lt;br&gt;Orientation:N/A&lt;br&gt;&lt;br&gt;&lt;span style="color: #6aa84f;"&gt;&lt;strong&gt;Free Delivery!&lt;/strong&gt;&lt;/span&gt;</t>
  </si>
  <si>
    <t>T225-3A</t>
  </si>
  <si>
    <t>https://cdn.shopify.com/s/files/1/0790/8529/products/T225-3A.jpeg?v=1425992715</t>
  </si>
  <si>
    <t>(display image: Red Rose Reverence Casket Spray)</t>
  </si>
  <si>
    <t>Blessed Heart</t>
  </si>
  <si>
    <t>A beautiful heart is a wonderful way to share your thoughts of love.&lt;br&gt;&lt;br&gt;Red roses, spray roses, carnations and miniature carnations are arranged with fern and ivy in the shape of a heart.&lt;br&gt;&lt;br&gt;Approximately 23" W x 24" H&lt;br&gt;&lt;br&gt;Orientation: One-Sided&lt;br&gt;&lt;br&gt;&lt;span style="color: #6aa84f;"&gt;&lt;strong&gt;Free Delivery!&lt;/strong&gt;&lt;/span&gt;</t>
  </si>
  <si>
    <t>T225-2A</t>
  </si>
  <si>
    <t>https://cdn.shopify.com/s/files/1/0790/8529/products/T225-2A.jpeg?v=1425992714</t>
  </si>
  <si>
    <t>(display image: Blessed Heart)</t>
  </si>
  <si>
    <t>Majestic Heart</t>
  </si>
  <si>
    <t>Remember a loved one's generous heart with this red arrangement in a classic heart shape, a declaration of eternal love and devotion.&lt;br&gt;&lt;br&gt;Solid red roses matched with deep red carnations are surrounded by variegated greens and fern.&lt;br&gt;&lt;br&gt;Approximately 21" W x 21" H&lt;br&gt;&lt;br&gt;Orientation: One-Sided&lt;br&gt;&lt;br&gt;&lt;span style="color: #6aa84f;"&gt;&lt;strong&gt;Free Delivery!&lt;/strong&gt;&lt;/span&gt;</t>
  </si>
  <si>
    <t>T225-1A</t>
  </si>
  <si>
    <t>https://cdn.shopify.com/s/files/1/0790/8529/products/T225-1A.jpeg?v=1425992713</t>
  </si>
  <si>
    <t>(display image: Majestic Heart)</t>
  </si>
  <si>
    <t>Teleflora's Rose Tribute</t>
  </si>
  <si>
    <t>&lt;p&gt;An elegant expression of sympathy and love, this eye-catching arrangement presents two dozen red roses in an exclusive Noble Heritage urn.&lt;br&gt;&lt;br&gt;A traditional funeral flower choice, featuring two dozen red roses in a Noble Heritage urn.&lt;/p&gt;
&lt;meta charset="utf-8"&gt;
&lt;p&gt;&lt;span&gt;Approximately: 27" W x 26" H&lt;/span&gt;&lt;/p&gt;
&lt;meta charset="utf-8"&gt;
&lt;p&gt;&lt;span&gt;&lt;span&gt;Orientation: One-Sided&lt;/span&gt;&lt;/span&gt;&lt;/p&gt;</t>
  </si>
  <si>
    <t>T224-1A</t>
  </si>
  <si>
    <t>https://cdn.shopify.com/s/files/1/0790/8529/products/T224-1A.jpeg?v=1425992712</t>
  </si>
  <si>
    <t>(display image: Teleflora's Rose Tribute)</t>
  </si>
  <si>
    <t>Greatest Love Casket Spray</t>
  </si>
  <si>
    <t>A loving embrace of 8-DOZEN rich, regal roses in an all-red spray to adorn the casket. A full spray of crimson roses, alternating large with slightly smaller.&lt;br&gt;&lt;br&gt;Approximately: 62" W x 22" H &lt;br&gt;&lt;br&gt;&lt;span style="color: #6aa84f;"&gt;&lt;strong&gt;Free Delivery!&lt;/strong&gt;&lt;/span&gt;</t>
  </si>
  <si>
    <t>T223-1A</t>
  </si>
  <si>
    <t>https://cdn.shopify.com/s/files/1/0790/8529/products/T223-1A.jpeg?v=1425992710</t>
  </si>
  <si>
    <t>(display image: Greatest Love Casket Spray)</t>
  </si>
  <si>
    <t>Heavenly Heights Bouquet</t>
  </si>
  <si>
    <t>Beautifully feminine. Serene but strong. This pretty basket of pink flowers is a lovely way to show you care. &lt;br&gt;&lt;br&gt;A mix of fresh pink blossoms like gladioli, alstroemeria, carnations and more are lovingly arranged in a white basket.&lt;br&gt;&lt;br&gt;Approximately: 23" W x 33" H &lt;br&gt;&lt;br&gt;Orientation: One-Sided&lt;br&gt;&lt;br&gt;&lt;span style="color: #6aa84f;"&gt;&lt;strong&gt;Free Delivery!&lt;/strong&gt;&lt;/span&gt;</t>
  </si>
  <si>
    <t>T221-4A</t>
  </si>
  <si>
    <t>https://cdn.shopify.com/s/files/1/0790/8529/products/T221-4A.jpeg?v=1425992709</t>
  </si>
  <si>
    <t>(display image: Heavenly Heights Bouquet)</t>
  </si>
  <si>
    <t>Teleflora's Heartfelt Memories</t>
  </si>
  <si>
    <t>This stunning arrangement of funeral flowers for a woman is presented in a graceful urn. It's a perfect pick to honor or comfort someone who loved the color purple.&lt;br&gt;&lt;br&gt;_x000D_Funeral flowers such as purple cushion spray mums, purple carnations, lavender gladioli and lavender Cremon mums are accented with leatherleaf fern in an exclusive Garlands of Grace urn.&lt;br&gt;&lt;br&gt;Approximately 17 1/2" W x 27 1/2" H&lt;br&gt;&lt;br&gt;Orientation:One-Sided&lt;br&gt;&lt;br&gt;&lt;span style="color: #6aa84f;"&gt;&lt;strong&gt;Free Delivery!&lt;/strong&gt;&lt;/span&gt;</t>
  </si>
  <si>
    <t>T221-3A</t>
  </si>
  <si>
    <t>https://cdn.shopify.com/s/files/1/0790/8529/products/T221-3A.jpeg?v=1425992708</t>
  </si>
  <si>
    <t>(display image: Teleflora's Heartfelt Memories)</t>
  </si>
  <si>
    <t>Teleflora's Rose Remembrance</t>
  </si>
  <si>
    <t>Remember her with roses. A bountiful array of soft peach funeral flowers are gathered into a Grecian-style urn to create a luxurious and inspiring tribute arrangement for a woman.&lt;br&gt;&lt;br&gt;_x000D_This stately arrangement features flowers such as peach roses and carnations accented with seeded eucalyptus, oregonia and salal in an exclusive Grecian Garden urn.&lt;br&gt;&lt;br&gt;Approximately 22 3/4" W x 22 1/4" H&lt;br&gt;&lt;br&gt;Orientation:One-Sided&lt;br&gt;&lt;br&gt;&lt;span style="color: #6aa84f;"&gt;&lt;strong&gt;Free Delivery!&lt;/strong&gt;&lt;/span&gt;</t>
  </si>
  <si>
    <t>T221-2A</t>
  </si>
  <si>
    <t>https://cdn.shopify.com/s/files/1/0790/8529/products/T221-2A.jpeg?v=1425992707</t>
  </si>
  <si>
    <t>(display image: Teleflora's Rose Remembrance)</t>
  </si>
  <si>
    <t>Teleflora's Garden of Memories</t>
  </si>
  <si>
    <t>A classic Grecian-style urn lends a time-honored touch to these feminine sympathy flowers. Light pink roses and large white lilies create an unforgettable garden of grace and love.&lt;br&gt;&lt;br&gt;_x000D_Pink blooms such as hydrangea, roses and alstroemeria are mixed with white flowers including stock, asiatic lilies and white Cremon chrysanthemums, delivered in Teleflora's exclusive Garlands of Grace urn.&lt;br&gt;&lt;br&gt;Approximately 19" W x 18 1/4" H&lt;br&gt;&lt;br&gt;Orientation:All-Around&lt;br&gt;&lt;br&gt;&lt;span style="color: #6aa84f;"&gt;&lt;strong&gt;Free Delivery!&lt;/strong&gt;&lt;/span&gt;</t>
  </si>
  <si>
    <t>T221-1A</t>
  </si>
  <si>
    <t>https://cdn.shopify.com/s/files/1/0790/8529/products/T221-1A.jpeg?v=1425992706</t>
  </si>
  <si>
    <t>(display image: Teleflora's Garden of Memories)</t>
  </si>
  <si>
    <t>Teleflora's Loving Grace</t>
  </si>
  <si>
    <t>Honor a beautiful person with a beautiful bouquet. This lush, luxurious arrangement of assorted funeral flowers communicates your sympathy in soothing shades of soft pink, peach and lavender.&lt;br&gt;&lt;br&gt;_x000D_This dramatic display of blooms features flowers such as peach roses, light pink spray roses, pink asiatic lilies, pink gerberas, pink alstroemeria, pink lisianthus, lavender and purple larkspur, purple limonium and greens including myrtle and salal.&lt;br&gt;&lt;br&gt;Approximately 26" W x 30" H&lt;br&gt;&lt;br&gt;Orientation:One-Sided&lt;br&gt;&lt;br&gt;&lt;span style="color: #6aa84f;"&gt;&lt;strong&gt;Free Delivery!&lt;/strong&gt;&lt;/span&gt;</t>
  </si>
  <si>
    <t>T220-1A</t>
  </si>
  <si>
    <t>https://cdn.shopify.com/s/files/1/0790/8529/products/T220-1A.jpeg?v=1425992704</t>
  </si>
  <si>
    <t>(display image: Teleflora's Loving Grace)</t>
  </si>
  <si>
    <t>Teleflora's Sunny Memories</t>
  </si>
  <si>
    <t>Celebrate your sunny memories of someone special with this tall funeral floral arrangement, presented in a graceful urn. The sunny yellow flowers are a classic statement of never-ending friendship and love.&lt;br&gt;&lt;br&gt;_x000D_Bright yellow blooms such as roses, gladioli, button mums, daisies and solidago, accented by leatherleaf fern.&lt;br&gt;&lt;br&gt;Approximately 26" W x 37" H&lt;br&gt;&lt;br&gt;Orientation:One-Sided&lt;br&gt;&lt;br&gt;&lt;span style="color: #6aa84f;"&gt;&lt;strong&gt;Free Delivery!&lt;/strong&gt;&lt;/span&gt;</t>
  </si>
  <si>
    <t>T219-1A</t>
  </si>
  <si>
    <t>https://cdn.shopify.com/s/files/1/0790/8529/products/T219-1A.jpeg?v=1425992703</t>
  </si>
  <si>
    <t>(display image: Teleflora's Sunny Memories)</t>
  </si>
  <si>
    <t>Vivid Recollections</t>
  </si>
  <si>
    <t>This glorious basket of beautiful blossoms will send hope and let those you care for know that grief is a path they needn't walk alone. &lt;br&gt;&lt;br&gt;Bright flowers such as yellow asiatic lilies, snapdragons and daisy spray chrysanthemums along with green gladioli, purple alstroemeria and fresh greenery are beautifully delivered in a natural basket.&lt;br&gt;&lt;br&gt;Approximately: 19" W x 30" H &lt;br&gt;&lt;br&gt;Orientation: One-Sided&lt;br&gt;&lt;br&gt;&lt;span style="color: #6aa84f;"&gt;&lt;strong&gt;Free Delivery!&lt;/strong&gt;&lt;/span&gt;</t>
  </si>
  <si>
    <t>T218-4A</t>
  </si>
  <si>
    <t>https://cdn.shopify.com/s/files/1/0790/8529/products/T218-4A.jpeg?v=1425992702</t>
  </si>
  <si>
    <t>(display image: Vivid Recollections)</t>
  </si>
  <si>
    <t>Basket of Memories</t>
  </si>
  <si>
    <t>Honor rich remembrances of one dearly missed with a vivid mix of blooms that offer strength and comfort alike during a time of sorrow.&lt;br&gt;&lt;br&gt; Beautiful fresh flowers such as yellow asiatic lilies and gladioli contrast with purple carnations, statice and gladioli, plus lavender carnations and chrysanthemums in a rectangular basket with handle.&lt;br&gt;&lt;br&gt;Approximately: 21" W x 28" H &lt;br&gt;&lt;br&gt;Orientation: One-Sided&lt;br&gt;&lt;br&gt;&lt;span style="color: #6aa84f;"&gt;&lt;strong&gt;Free Delivery!&lt;/strong&gt;&lt;/span&gt;</t>
  </si>
  <si>
    <t>T218-3A</t>
  </si>
  <si>
    <t>https://cdn.shopify.com/s/files/1/0790/8529/products/T218-3A.jpeg?v=1425992701</t>
  </si>
  <si>
    <t>(display image: Basket of Memories)</t>
  </si>
  <si>
    <t>Love's Tapestry</t>
  </si>
  <si>
    <t>This generous basket is a gorgeous way to send caring thoughts. And hopes for brighter days ahead. &lt;br&gt;&lt;br&gt;Beautiful flowers such as blue hydrangea, lavender roses, snapdragons and daisy spray chrysanthemums along with yellow asiatic lilies, gerberas, gladioli, snapdragons and brilliant greenery are delivered in a lovely wicker basket.&lt;br&gt;&lt;br&gt;Approximately: 23 1/2" W x 31" H &lt;br&gt;&lt;br&gt;Orientation: One-Sided&lt;br&gt;&lt;br&gt;&lt;span style="color: #6aa84f;"&gt;&lt;strong&gt;Free Delivery!&lt;/strong&gt;&lt;/span&gt;</t>
  </si>
  <si>
    <t>T218-2A</t>
  </si>
  <si>
    <t>https://cdn.shopify.com/s/files/1/0790/8529/products/T218-2A.jpeg?v=1425992699</t>
  </si>
  <si>
    <t>(display image: Love's Tapestry)</t>
  </si>
  <si>
    <t>Ever Upward Bouquet by Teleflora</t>
  </si>
  <si>
    <t>Feminine gardens of grace honor a beautiful woman. Presented in a Grecian-style urn, these tall pink sympathy flowers reach toward the sky in graceful tribute.&lt;br&gt;&lt;br&gt;_x000D_Bountiful blooms such as hot pink roses, pink spray roses, pink hybrid lilies, yellow dahlias, pink gladioli, pink and purple larkspur, huckleberry and parviflora eucalyptus.&lt;br&gt;&lt;br&gt;Approximately 26" W x 45" H&lt;br&gt;&lt;br&gt;Orientation:One-Sided&lt;br&gt;&lt;br&gt;&lt;span style="color: #6aa84f;"&gt;&lt;strong&gt;Free Delivery!&lt;/strong&gt;&lt;/span&gt;</t>
  </si>
  <si>
    <t>T218-1A</t>
  </si>
  <si>
    <t>https://cdn.shopify.com/s/files/1/0790/8529/products/T218-1A.jpeg?v=1425992698</t>
  </si>
  <si>
    <t>(display image: Ever Upward Bouquet by Teleflora)</t>
  </si>
  <si>
    <t>Stately Lilies</t>
  </si>
  <si>
    <t>A calming portrait in ivory. Majestic calla lilies and stately white roses are framed by the lush leaves of aspidistra and calathea. Soft green sword fern adds to the soothing tones.&lt;br&gt;&lt;br&gt;Large white calla lilies pair with white roses and lush greens that include soft, airy sword fern and glossy aspidistra. Please note: Arrangement does not include urn.&lt;br&gt;&lt;br&gt;Approximately: 41" W x 31" H&lt;br&gt;&lt;br&gt;Orientation: One-Sided&lt;br&gt;&lt;br&gt;&lt;span style="color: #6aa84f;"&gt;&lt;strong&gt;Free Delivery!&lt;/strong&gt;&lt;/span&gt;</t>
  </si>
  <si>
    <t>T217-1A</t>
  </si>
  <si>
    <t>https://cdn.shopify.com/s/files/1/0790/8529/products/T217-1A.jpeg?v=1425992697</t>
  </si>
  <si>
    <t>(display image: Stately Lilies)</t>
  </si>
  <si>
    <t>Loving Lilies and Roses Bouquet</t>
  </si>
  <si>
    <t>A touching tribute. This elegant, large sympathy arrangement is an impressive mix of white asiatic lilies and cremeÂ roses, presented in a beautiful urn vase.&lt;br&gt;&lt;br&gt; This elegant bouquet features flowers such as creme roses, fragrant white oriental lilies, white carnations and greens including spiral and seeded eucalyptus and rich green salal.&lt;br&gt;&lt;br&gt;Approximately: 27" W x 25" H&lt;br&gt;&lt;br&gt;Orientation: One-Sided&lt;br&gt;&lt;br&gt;&lt;span style="color: #6aa84f;"&gt;&lt;strong&gt;Free Delivery!&lt;/strong&gt;&lt;/span&gt;</t>
  </si>
  <si>
    <t>T216-1A</t>
  </si>
  <si>
    <t>https://cdn.shopify.com/s/files/1/0790/8529/products/T216-1A.jpeg?v=1425992696</t>
  </si>
  <si>
    <t>(display image: Loving Lilies and Roses Bouquet)</t>
  </si>
  <si>
    <t>Blooming Garden Basket</t>
  </si>
  <si>
    <t>Send this colorful sympathy basket of plants to show your condolences to a grieving family. This long-lasting assortment of mixed plants in a basket is a perfect pick for garden lovers.&lt;br&gt;&lt;br&gt;_x000D_This lush garden of potted flowering plants includes yellow miniature roses, pink azalea, African violets, hot pink hypoestes and green ivy.&lt;br&gt;&lt;br&gt;Approximately 17" W x 14" H&lt;br&gt;&lt;br&gt;Orientation:All-Around&lt;br&gt;&lt;br&gt;&lt;span style="color: #6aa84f;"&gt;&lt;strong&gt;Free Delivery!&lt;/strong&gt;&lt;/span&gt;</t>
  </si>
  <si>
    <t>T213-3A</t>
  </si>
  <si>
    <t>https://cdn.shopify.com/s/files/1/0790/8529/products/T213-3A.jpeg?v=1425992695</t>
  </si>
  <si>
    <t>(display image: Blooming Garden Basket)</t>
  </si>
  <si>
    <t>Sweet Tranquility Basket</t>
  </si>
  <si>
    <t>A rainbow in a basket! This cheerful array of colorful blooms is a versatile pick for any occasion, presented in a handled basket that can be moved from room to room as the mood strikes. The perfect gift to cheer up a special someone when they need a smile.&lt;br&gt;&lt;br&gt; Presented in a handled basket, this colorful arrangement includes orange and yellow roses, pink matsumoto asters, white daisies, green button mums, white monte cassino asters, delicate solidago and fresh greens such as salal and variegated pittosporum.&lt;br&gt;&lt;br&gt;Approximately: 16" W x 13 1/2" H&lt;br&gt;&lt;br&gt;Orientation: All-Around&lt;br&gt;&lt;br&gt;&lt;span style="color: #6aa84f;"&gt;&lt;strong&gt;Free Delivery!&lt;/strong&gt;&lt;/span&gt;</t>
  </si>
  <si>
    <t>T213-2A</t>
  </si>
  <si>
    <t>https://cdn.shopify.com/s/files/1/0790/8529/products/T213-2A.jpeg?v=1425992693</t>
  </si>
  <si>
    <t>(display image: Sweet Tranquility Basket)</t>
  </si>
  <si>
    <t>Small Garden Dish</t>
  </si>
  <si>
    <t>Lush green plants add life and fresh air to any room, and are a versatile gift for any occasion. This mix of living potted plants is arranged in a green ceramic dish for a stylish, monochromatic look.&lt;br&gt;&lt;br&gt;_x000D_Dieffenbachia, dracaena sanderiana, variegated ivy, palm, variegated peperomia and green philodendron.&lt;br&gt;&lt;br&gt;Approximately 12 1/2" W x 11" H&lt;br&gt;&lt;br&gt;Orientation:All-Around&lt;br&gt;&lt;br&gt;&lt;span style="color: #6aa84f;"&gt;&lt;strong&gt;Free Delivery!&lt;/strong&gt;&lt;/span&gt;</t>
  </si>
  <si>
    <t>T212-3A</t>
  </si>
  <si>
    <t>https://cdn.shopify.com/s/files/1/0790/8529/products/T212-3A.jpeg?v=1425992692</t>
  </si>
  <si>
    <t>(display image: Small Garden Dish)</t>
  </si>
  <si>
    <t>Medium Dish Garden</t>
  </si>
  <si>
    <t>Bring the outdoors in with this lush green potted garden. Arranged in a low white bowl, the assortment of living potted plants can be enjoyed inside, then planted outside at a later date. You can't go wrong with this versatile, long-lasting gift.&lt;br&gt;&lt;br&gt; This miniature garden of living plants includes dracaena, variegated ivy, palm, spathiphyllum and white butterfly syngonium, arranged in a low white bowl with river rocks, sheet moss and bark accents.&lt;br&gt;&lt;br&gt;Approximately 14" W x 15" H&lt;br&gt;&lt;br&gt;Orientation:All-Around&lt;br&gt;&lt;br&gt;&lt;span style="color: #6aa84f;"&gt;&lt;strong&gt;Free Delivery!&lt;/strong&gt;&lt;/span&gt;</t>
  </si>
  <si>
    <t>T212-2A</t>
  </si>
  <si>
    <t>https://cdn.shopify.com/s/files/1/0790/8529/products/T212-2A.jpeg?v=1425992691</t>
  </si>
  <si>
    <t>(display image:Medium Dish Garden)_x000D_Medium Dish Garden)</t>
  </si>
  <si>
    <t>Large Basket Garden</t>
  </si>
  <si>
    <t>This versatile basket of potted green plants adds beauty, life and fresh air to any space. It's a long-lasting gift that communicates your love and best wishes, no matter the occasion.&lt;br&gt;&lt;br&gt;_x000D_This green garden of growing plants includes potted croton, dieffenbachia, green ivy, pothos, schefflera and white butterfly syngonium.&lt;br&gt;&lt;br&gt;Approximately 19" W x 16" H&lt;br&gt;&lt;br&gt;Orientation:All-Around&lt;br&gt;&lt;br&gt;&lt;span style="color: #6aa84f;"&gt;&lt;strong&gt;Free Delivery!&lt;/strong&gt;&lt;/span&gt;</t>
  </si>
  <si>
    <t>T212-1A</t>
  </si>
  <si>
    <t>https://cdn.shopify.com/s/files/1/0790/8529/products/T212-1A.jpeg?v=1425992690</t>
  </si>
  <si>
    <t>(display image: Large Basket Garden)</t>
  </si>
  <si>
    <t>A Full Life</t>
  </si>
  <si>
    <t>Lush flowers to celebrate a full life. This beautiful basket of flowers for a funeral or home evokes the natural beauty of life with purple hydrangeas, lavender and white roses and winding green ivy.&lt;br&gt;&lt;br&gt; White and purple funeral flowers such as deep purple hydrangea, lavender roses, white spray roses and white waxflower are accented with rich green ivy and variegated pittosporum in a natural basket with a handle.&lt;br&gt;&lt;br&gt;Approximately: 16 3/4" W x 12 1/2" H&lt;br&gt;&lt;br&gt;Orientation: All-Around&lt;br&gt;&lt;br&gt;&lt;span style="color: #6aa84f;"&gt;&lt;strong&gt;Free Delivery!&lt;/strong&gt;&lt;/span&gt;</t>
  </si>
  <si>
    <t>T211-1A</t>
  </si>
  <si>
    <t>https://cdn.shopify.com/s/files/1/0790/8529/products/T211-1A.jpeg?v=1425992688</t>
  </si>
  <si>
    <t>(display image: A Full Life)_x000D_A Full Life)</t>
  </si>
  <si>
    <t>Beautiful Dreams</t>
  </si>
  <si>
    <t>Soothing and respectful. Calm and compassionate. This beautiful assortment of white and light colored blossoms will deliver your loving thoughts perfectly.&lt;br&gt;&lt;br&gt;Tasteful flowers such as light blue hydrangea, creme roses, white asiatic lilies, miniature carnations and more are delivered in a lovely white French Country Pot.&lt;br&gt;&lt;br&gt;Approximately: 13" W x 12" H&lt;br&gt;&lt;br&gt;Orientation: One-Sided&lt;br&gt;&lt;br&gt;&lt;span style="color: #6aa84f;"&gt;&lt;strong&gt;Free Delivery!&lt;/strong&gt;&lt;/span&gt;</t>
  </si>
  <si>
    <t>T209-1A</t>
  </si>
  <si>
    <t>https://cdn.shopify.com/s/files/1/0790/8529/products/T209-1A.jpeg?v=1425992687</t>
  </si>
  <si>
    <t>(display image: Beautiful Dreams)</t>
  </si>
  <si>
    <t>Teleflora's Park Avenue Centerpiece</t>
  </si>
  <si>
    <t>AÂ dazzling arrangement of creme roses, white hydrangea and white lisianthus presented in a brilliant Mercury Glass Bowl. It's a lovely choice for any special occasion.&lt;br&gt;&lt;br&gt;A beautiful Mercury Glass Bowl presents a soft mix of creme roses, white hydrangea and white lisianthus accented with seeded eucalyptus.&lt;br&gt;&lt;br&gt;Approximately: 13 1/2" W x 10 1/4" H&lt;br&gt;&lt;br&gt;Orientation: All-Around&lt;br&gt;&lt;br&gt;&lt;span style="color: #6aa84f;"&gt;&lt;strong&gt;Free Delivery!&lt;/strong&gt;&lt;/span&gt;</t>
  </si>
  <si>
    <t>T188-1A</t>
  </si>
  <si>
    <t>https://cdn.shopify.com/s/files/1/0790/8529/products/T188-1A.jpeg?v=1425992685</t>
  </si>
  <si>
    <t>(display image: Teleflora's Park Avenue Centerpiece)</t>
  </si>
  <si>
    <t>Teleflora's Crystal Cross Bouquet</t>
  </si>
  <si>
    <t>Radiant flowers cradling an exquisitely crafted Crystal Cross. This lovely gift will be a source of inspiration for years to come.&lt;br&gt;&lt;br&gt;Yellow gladioli, lavender daisy spray chrysanthemums, pink carnations and solidago accented with assorted greenery are delivered with a 7Â inchÂ high, multifaceted Crystal Cross.&lt;br&gt;&lt;br&gt;Approximately: 16" W x 21" H&lt;br&gt;&lt;br&gt;Orientation: One-Sided&lt;br&gt;&lt;br&gt;&lt;span style="color: #6aa84f;"&gt;&lt;strong&gt;Free Delivery!&lt;/strong&gt;&lt;/span&gt;</t>
  </si>
  <si>
    <t>T11E400A</t>
  </si>
  <si>
    <t>https://cdn.shopify.com/s/files/1/0790/8529/products/T11E400A.jpeg?v=1425992683</t>
  </si>
  <si>
    <t>(display image: Teleflora's Crystal Cross Bouquet)</t>
  </si>
  <si>
    <t>Stylish Plant Assortment</t>
  </si>
  <si>
    <t>T106-3A</t>
  </si>
  <si>
    <t>https://cdn.shopify.com/s/files/1/0790/8529/products/T106-3A.jpeg?v=1425992678</t>
  </si>
  <si>
    <t>(display image: Stylish Plant Assortment)</t>
  </si>
  <si>
    <t>Stately Croton</t>
  </si>
  <si>
    <t>T106-2A</t>
  </si>
  <si>
    <t>https://cdn.shopify.com/s/files/1/0790/8529/products/T106-2A.jpeg?v=1425992677</t>
  </si>
  <si>
    <t>(display image: Stately Croton)</t>
  </si>
  <si>
    <t>Emerald Garden Basket</t>
  </si>
  <si>
    <t>You don't have to follow the yellow brick road to find this emerald jewel. All kinds of gorgeous greens fill this basket that makes a perfect gift for men or women. Celebration or sympathy. Birthday or any day. So beautiful and bountiful it will deliver any message eloquently.&lt;br&gt;&lt;br&gt;Pothos, nephthytis, dieffenbachia, croton and peperomia plants are perfectly arranged in a distinctive willow rope basket. When it comes to gifts, this one is a gem!&lt;br&gt;&lt;br&gt;Approximately: 17 1/2" W x 17 1/4" H&lt;br&gt;&lt;br&gt;Orientation: All-Around&lt;br&gt;&lt;br&gt;&lt;span style="color: #6aa84f;"&gt;&lt;strong&gt;Free Delivery!&lt;/strong&gt;&lt;/span&gt;</t>
  </si>
  <si>
    <t>T106-1A</t>
  </si>
  <si>
    <t>https://cdn.shopify.com/s/files/1/0790/8529/products/T106-1A.jpeg?v=1425992675</t>
  </si>
  <si>
    <t>(display image: Emerald Garden Basket)</t>
  </si>
  <si>
    <t>Simply Elegant Spathiphyllum - Large</t>
  </si>
  <si>
    <t>When you want to make a big impression, sending a beautiful spathiphyllum that reaches almost 40" is practically heaven sent. With its glossy leaves and brilliant white blossoms, this plant is super easy to care for. At the same time, it cares for indoor environments as well, cleansing the air of several toxic elements. It's simply elegant and simply wonderful.&lt;br&gt;&lt;br&gt;This large spathiphyllum is delivered in a charming 12" basket. Tall is a great call!&lt;br&gt;&lt;br&gt;Approximately: 27" W x 40" H&lt;br&gt;&lt;br&gt;&lt;span style="color: #6aa84f;"&gt;&lt;strong&gt;Free Delivery!&lt;/strong&gt;&lt;/span&gt;</t>
  </si>
  <si>
    <t>T105-3A</t>
  </si>
  <si>
    <t>https://cdn.shopify.com/s/files/1/0790/8529/products/T105-3A.jpeg?v=1425992674</t>
  </si>
  <si>
    <t>(display image: Simply Elegant Spathiphyllum - Large)</t>
  </si>
  <si>
    <t>Simply Elegant Spathiphyllum - Med.</t>
  </si>
  <si>
    <t>&lt;p&gt;Known for its indoor beauty and ability to clear the air of contaminants, this brilliant green plant with dazzling white blossoms makes a perfect gift for almost any occasion. low-maintenance. High quality. Bet you never knew delivering elegance could be this simple.&lt;br&gt;&lt;br&gt;This spathiphyllum comes in an 8" woven wicker basket.&lt;br&gt;&lt;br&gt;Approximately: 30 1/2" W x 37" H&lt;/p&gt;
&lt;p&gt;Orientation: All Around&lt;br&gt;&lt;br&gt;&lt;span style="color: #6aa84f;"&gt;&lt;strong&gt;Free Delivery!&lt;/strong&gt;&lt;/span&gt;&lt;/p&gt;</t>
  </si>
  <si>
    <t>T105-2A</t>
  </si>
  <si>
    <t>https://cdn.shopify.com/s/files/1/0790/8529/products/T105-2A.jpeg?v=1425992673</t>
  </si>
  <si>
    <t>(display image: Simply Elegant Spathiphyllum - Med.)</t>
  </si>
  <si>
    <t>Simply Elegant Spathiphyllum - Small</t>
  </si>
  <si>
    <t>Also known as the peace lily, this dark leafy plant with its delicate white blossoms makes a simply elegant gift. There's nothing small about the sentiment delivered along with this pretty plant.&lt;br&gt;&lt;br&gt;A brilliant green spathiphyllum is delivered in a natural wicker basket.&lt;br&gt;&lt;br&gt;Approximately: 22" W x 29 1/2" H&lt;br&gt;&lt;br&gt;&lt;span style="color: #6aa84f;"&gt;&lt;strong&gt;Free Delivery!&lt;/strong&gt;&lt;/span&gt;</t>
  </si>
  <si>
    <t>T105-1A</t>
  </si>
  <si>
    <t>https://cdn.shopify.com/s/files/1/0790/8529/products/T105-1A.jpeg?v=1425992672</t>
  </si>
  <si>
    <t>(display image: Simply Elegant Spathiphyllum - Small)</t>
  </si>
  <si>
    <t>Amazing Arboricola</t>
  </si>
  <si>
    <t>T104-3A</t>
  </si>
  <si>
    <t>https://cdn.shopify.com/s/files/1/0790/8529/products/T104-3A.jpeg?v=1425992671</t>
  </si>
  <si>
    <t>(display image: Amazing Arboricola)</t>
  </si>
  <si>
    <t>Delightful Dieffenbachia</t>
  </si>
  <si>
    <t>T104-2A</t>
  </si>
  <si>
    <t>https://cdn.shopify.com/s/files/1/0790/8529/products/T104-2A.jpeg?v=1425992670</t>
  </si>
  <si>
    <t>(display image: Delightful Dieffenbachia)</t>
  </si>
  <si>
    <t>Towering Ficus</t>
  </si>
  <si>
    <t>T104-1A</t>
  </si>
  <si>
    <t>https://cdn.shopify.com/s/files/1/0790/8529/products/T104-1A.jpeg?v=1425992669</t>
  </si>
  <si>
    <t>(display image: Towering Ficus)</t>
  </si>
  <si>
    <t>Regal Orchids</t>
  </si>
  <si>
    <t>T103-1A</t>
  </si>
  <si>
    <t>https://cdn.shopify.com/s/files/1/0790/8529/products/T103-1A.jpeg?v=1425992668</t>
  </si>
  <si>
    <t>(display image: Regal Orchids)</t>
  </si>
  <si>
    <t>Teleflora's Bromeliad Beauty</t>
  </si>
  <si>
    <t>Related to the pineapple plant, perhaps because of its sweetness, this gorgeous beauty adds red and tropical greenery to any room. It's delivered in an exclusive bamboo cube, which makes it extra beautiful.&lt;br&gt;&lt;br&gt;A red bromeliad plant is delivered in a brown bamboo cube.&lt;br&gt;&lt;br&gt;Approximately: 30" W x 25 1/2" H&lt;br&gt;&lt;br&gt;&lt;span style="color: #6aa84f;"&gt;&lt;strong&gt;Free Delivery!&lt;/strong&gt;&lt;/span&gt;</t>
  </si>
  <si>
    <t>T100-1A</t>
  </si>
  <si>
    <t>https://cdn.shopify.com/s/files/1/0790/8529/products/T100-1A.jpeg?v=1425992667</t>
  </si>
  <si>
    <t>(display image: Teleflora's Bromeliad Beauty)</t>
  </si>
  <si>
    <t>Roman Holiday</t>
  </si>
  <si>
    <t>Beautiful dark pink hydrangea, red and lavender roses, carnations in dark purple and lavender, hot pink freesia and lavender phlox are perfectly arranged in a simply lovely cylinder vase.Â &lt;br&gt;&lt;br&gt;Approximately: 12" W x 14" H&lt;br&gt;&lt;br&gt;Orientation: All-Around&lt;br&gt;&lt;br&gt;&lt;span style="color: #6aa84f;"&gt;&lt;strong&gt;Free Delivery!&lt;/strong&gt;&lt;/span&gt;</t>
  </si>
  <si>
    <t>T10-1A</t>
  </si>
  <si>
    <t>https://cdn.shopify.com/s/files/1/0790/8529/products/T10-1A.jpeg?v=1425992666</t>
  </si>
  <si>
    <t>(display image: Roman Holiday)</t>
  </si>
  <si>
    <t>Sympathy Standing Heart</t>
  </si>
  <si>
    <t>A heart in beautiful soft colors, featuring roses and hydrangeas.&lt;br&gt;&lt;br&gt;&lt;span style="color: #6aa84f;"&gt;&lt;strong&gt;Free Delivery!&lt;/strong&gt;&lt;/span&gt;</t>
  </si>
  <si>
    <t>S-6003</t>
  </si>
  <si>
    <t>https://cdn.shopify.com/s/files/1/0790/8529/products/S-6003.jpeg?v=1425992664</t>
  </si>
  <si>
    <t>(display image: Sympathy Standing Heart)</t>
  </si>
  <si>
    <t>All In White</t>
  </si>
  <si>
    <t>A traditional tribute that communicates deep love and eternal commitment. Mixed flowers in pure white beauty.&lt;br&gt;&lt;br&gt;&lt;span style="color: #6aa84f;"&gt;&lt;strong&gt;Free Delivery!&lt;/strong&gt;&lt;/span&gt;</t>
  </si>
  <si>
    <t>S-5012</t>
  </si>
  <si>
    <t>https://cdn.shopify.com/s/files/1/0790/8529/products/S-5012.jpeg?v=1425992663</t>
  </si>
  <si>
    <t>(display image: All In White)</t>
  </si>
  <si>
    <t>Funeral</t>
  </si>
  <si>
    <t>A wicker basket filled with flowers such as roses, carnations and calla lilies.&lt;br&gt;&lt;br&gt;&lt;span style="color: #6aa84f;"&gt;&lt;strong&gt;Free Delivery!&lt;/strong&gt;&lt;/span&gt;</t>
  </si>
  <si>
    <t>S-5007</t>
  </si>
  <si>
    <t>https://cdn.shopify.com/s/files/1/0790/8529/products/S-5007.jpeg?v=1425992662</t>
  </si>
  <si>
    <t>(display image: Funeral)</t>
  </si>
  <si>
    <t>Sweet Heart</t>
  </si>
  <si>
    <t>Features a solid heart filled with red roses for the one you love.&lt;br&gt;&lt;br&gt;&lt;span style="color: #6aa84f;"&gt;&lt;strong&gt;Free Delivery!&lt;/strong&gt;&lt;/span&gt;</t>
  </si>
  <si>
    <t>S-5004</t>
  </si>
  <si>
    <t>https://cdn.shopify.com/s/files/1/0790/8529/products/S-5004.jpeg?v=1425992661</t>
  </si>
  <si>
    <t>(display image: Sweet Heart)</t>
  </si>
  <si>
    <t>Hansen's Green orchid</t>
  </si>
  <si>
    <t>A graceful standing wreath featuring green orchids, white gerbera daisies, and other soft colored flowers.&lt;br&gt;&lt;br&gt;&lt;span style="color: #6aa84f;"&gt;&lt;strong&gt;Free Delivery!&lt;/strong&gt;&lt;/span&gt;</t>
  </si>
  <si>
    <t>HFS-8078</t>
  </si>
  <si>
    <t>https://cdn.shopify.com/s/files/1/0790/8529/products/HFS-8078.jpeg?v=1425992659</t>
  </si>
  <si>
    <t>(display image: Hansen's Green orchid)</t>
  </si>
  <si>
    <t>Hansen's White Elegance</t>
  </si>
  <si>
    <t>A traditional standing cross in all white with a burst of red roses in the center.&lt;br&gt;&lt;br&gt;&lt;span style="color: #6aa84f;"&gt;&lt;strong&gt;Free Delivery!&lt;/strong&gt;&lt;/span&gt;</t>
  </si>
  <si>
    <t>HFS-8070</t>
  </si>
  <si>
    <t>https://cdn.shopify.com/s/files/1/0790/8529/products/HFS-8070.jpeg?v=1425992658</t>
  </si>
  <si>
    <t>(display image: Hansen's White Elegance)</t>
  </si>
  <si>
    <t>Pastel Cross</t>
  </si>
  <si>
    <t>A beautiful palette of pastel colors form this standing cross.&lt;br&gt;&lt;br&gt;&lt;span style="color: #6aa84f;"&gt;&lt;strong&gt;Free Delivery!&lt;/strong&gt;&lt;/span&gt;</t>
  </si>
  <si>
    <t>HFS-8066</t>
  </si>
  <si>
    <t>https://cdn.shopify.com/s/files/1/0790/8529/products/HFS-8066.jpeg?v=1425992657</t>
  </si>
  <si>
    <t>Standing Cross</t>
  </si>
  <si>
    <t>This standing easel cross features a white background with red roses.&lt;br&gt;&lt;br&gt;&lt;span style="color: #6aa84f;"&gt;&lt;strong&gt;Free Delivery!&lt;/strong&gt;&lt;/span&gt;</t>
  </si>
  <si>
    <t>HFS-7005</t>
  </si>
  <si>
    <t>https://cdn.shopify.com/s/files/1/0790/8529/products/HFS-7005.jpeg?v=1425992655</t>
  </si>
  <si>
    <t>(display image: Standing Cross)</t>
  </si>
  <si>
    <t>Garden Basket</t>
  </si>
  <si>
    <t>A wicker basket featuring sunflowers, lilies, and roses.&lt;br&gt;&lt;br&gt;&lt;span style="color: #6aa84f;"&gt;&lt;strong&gt;Free Delivery!&lt;/strong&gt;&lt;/span&gt;</t>
  </si>
  <si>
    <t>HF-089</t>
  </si>
  <si>
    <t>https://cdn.shopify.com/s/files/1/0790/8529/products/HF-089.jpeg?v=1425992649</t>
  </si>
  <si>
    <t>(display image: Garden Basket)</t>
  </si>
  <si>
    <t>1. Paste the current data into the "products_export" tab</t>
  </si>
  <si>
    <t>2. Erase the unnecessary columns</t>
  </si>
  <si>
    <t>Click the export button.</t>
  </si>
  <si>
    <t>3. Change the image reference</t>
  </si>
  <si>
    <t>Parse and paste the export file into the arranger under each tab.</t>
  </si>
  <si>
    <t>Casket Sprays</t>
  </si>
  <si>
    <t>Urn Arrangements</t>
  </si>
  <si>
    <t>Standing Arrangements</t>
  </si>
  <si>
    <t>Floral Baskets</t>
  </si>
  <si>
    <t>Floral Vases</t>
  </si>
  <si>
    <t>Funeral Baskets</t>
  </si>
  <si>
    <t>sort by tags and copy and paste the appropriate category</t>
  </si>
  <si>
    <t>remove gift baskets</t>
  </si>
  <si>
    <t>calculate the image size</t>
  </si>
  <si>
    <t>House Plants</t>
  </si>
  <si>
    <t>Dimensions height</t>
  </si>
  <si>
    <t>Dimensions width</t>
  </si>
  <si>
    <t>Bring majesty to the service with this gorgeous casket spray of orange roses and lilies and other brilliantly colored floral favorites. A touching tribute for someone special. The magnificent arrangement includes green miniature hydrangea, orange roses, dark orange asiatic lilies, red gerberas, red gladioli, green carnations and bells of Ireland, accented with assorted greenery. Approximately 44" W x 25" H</t>
  </si>
  <si>
    <t>Body TRIMMED</t>
  </si>
  <si>
    <t>The warm hues and luxurious flowers of this sympathy arrangement communicate your condolences in a most heartfelt way. With roses, lilies and alstroemeria, it's a lovely choice for the casket.&lt;br&gt;&lt;br&gt;This beautiful arrangement includes light orange roses, light orange spray roses, orange asiatic lilies, red alstroemeria, green button spray chrysanthemums, bells of Ireland and huckleberry. Approximately 16 1/2" W x 16" H</t>
  </si>
  <si>
    <t>This soft, sweet arrangement of peach roses and yellow spray roses is a lovely tribute to a beautiful life.&lt;br&gt;&lt;br&gt;Gorgeous peach roses are arranged with light yellow spray roses, pink alstroemeria, light yellow carnations, miniature peach carnations, pitta negra and variegated ivy. Approximately 8 3/4" W x 7 3/4" H</t>
  </si>
  <si>
    <t>Designed for inside the casket, this gorgeous array of white orchids, white roses and other white flowers is a fitting, and very personal tribute.&lt;br&gt;&lt;br&gt;The magnificent bouquet includes white dendrobium orchids, white roses, white spray roses, a white carnation and white larkspur, accented with assorted greenery. Approximately 18 1/2" W x 19 1/2" H</t>
  </si>
  <si>
    <t>Bold and beautiful, this heartwarming pink and red arrangement is an elegant show of sympathy at the memorial service.&lt;br&gt;&lt;br&gt;This feminine arrangement features hot pink roses, pink asiatic lilies, pink gladioli, hot pink carnations, pink larkspur, red ti leaves, Italian ruscus and lemon leaf.&lt;br&gt;&lt;br&gt;Arrangement does not include urn. Approximately 27" W x 31 1/2" H</t>
  </si>
  <si>
    <t>Send your warmest wishes and celebrate a special life with this colorful combination of lilies, roses and snapdragons--an absolutely gorgeous arrangement for the service or home.&lt;br&gt;&lt;br&gt;Pink stargazer lilies, lavender roses and yellow snapdragons are arranged with peach gerberas, hot pink carnations, lavender stock, bells of Ireland, purple larkspur, spiral eucalyptus and lemon leaf.&lt;br&gt;&lt;br&gt;Arrangement does not include urn._x000D_ Approximately 29" W x 25 1/2" H</t>
  </si>
  <si>
    <t>Plant a rose bush wherever you'd like with this lively, long-lasting gift! A fabulous flowering plant, this potted rose is presented in a clean, white ceramic planter to play up the hot pink perfection of the blooms. A beautiful choice for any occasion!&lt;br&gt;&lt;br&gt;Pretty, hot pink roses are planted in a classic ceramic planter. Approximately 14 1/2" W x 11 1/2" H</t>
  </si>
  <si>
    <t>Plant a garden wherever you please! This charming indoor garden features summertime shades of yellow and blue in a handled Nantucket basket that lets your lucky recipient move it from room to room as the mood strikes.&lt;br&gt;&lt;br&gt;Two yellow rose potted plants and two purple-blue African violet plants are nestled in a natural Nantucket basket with handle. Approximately 13 3/4" W x 12 3/4" H</t>
  </si>
  <si>
    <t>Perk up a pal's kitchen, bath or breakfast nook with this wonderful wicker basket! Boasting a total of six unique, living houseplants, it adds a breath of fresh greenery to any room. Its long oval shape makes it a lovely window basket!&lt;br&gt;&lt;br&gt;Six small potted plants - hot pink azalea, dieffenbachia, nephthytis, hypoestes, spathiphyllum and variegated ivy - are arranged in a natural basket with sheet moss decoration. Approximately 21" W x 16" H</t>
  </si>
  <si>
    <t>Have you ever seen a happier plant? The hydrangea's beautiful, billowing blooms are beloved by all. Send this 6-inch potted blue hydrangea plant as a housewarming gift or simply to brighten someone's day with a living gift.&lt;br&gt;&lt;br&gt;_x000D_A beautiful blue hydrangea plant is presented in a white ceramic planter.Approximately 16" W x 18" H</t>
  </si>
  <si>
    <t>A modern way to send mixed plants! This colorful, long-lasting gift is presented in a dark vase with clean lines, making it a perfect pick for the home or office.&lt;br&gt;&lt;br&gt; Mixed potted plants including kalanchoes, ivy, nephthytis and crotons are arranged in a vase. Approximately 23" W x 18" H</t>
  </si>
  <si>
    <t>Not your typical houseplant! With its bright tropical foliage, exotic appearance and Asian-inspired square planter, this potted croton plant is an eye-catching natural addition to any room.&lt;br&gt;&lt;br&gt;A potted croton plant, marked by colorful, stiff, waxy leaves that point upward, is delivered in a square planter.&lt;br&gt;&lt;br&gt;This plant should be kept out of the reach of children and pets. Approximately 32 1/2" W x 33 1/2" H</t>
  </si>
  <si>
    <t>The schefflera arboricola plant is known by many names, but none do justice to its delicate leaves and lush growth. A popular potted houseplant in homes and offices, the beautiful bush fights indoor air pollution and can last for years when cared for properly. Talk about a gift that keeps on giving!&lt;br&gt;&lt;br&gt;A schefflera arboricola plant is presented in a neutral gray planter.&lt;br&gt;&lt;br&gt;Schefflera arboricola is also known as the dwarf schefflera, dwarf scheff and dwarf umbrella tree. Approximately 27" W x 34 1/2" H</t>
  </si>
  <si>
    <t>Large, lovely leaves and a low-maintenance personality make the dieffenbachia a popular houseplant in homes and offices. The easy-to-care-for floor plant features colorful leaves in various shades of green that freshen up any corner. A great gift to send to the office.&lt;br&gt;&lt;br&gt;A potted dieffenbachia plant is presented in an elegant, Asian-style red planter.&lt;br&gt;&lt;br&gt;This plant should be kept out of the reach of children and pets. Approximately 29" W x 31 1/2" H</t>
  </si>
  <si>
    <t>A trio of colorful orchids is an elegant way to wish someone well. Presented in a beautiful white ceramic planter are three miniature phalaenopsis orchid plants. The white, lavender and green orchids sit peacefully in a bed of smooth, Zen river rocks.&lt;br&gt;&lt;br&gt;Mixed phalaenopsis orchids - one white, one lavender and one green - are potted in a ceramic planter with river rocks. Approximately 14" W x 16 1/2" H</t>
  </si>
  <si>
    <t>Bring the outdoors in with this lush potted ficus plant. Presented in a classic terra-cotta pot, the tall houseplant is a beautiful addition to any room and not only looks lovely, but also cleans the air with fresh new oxygen.&lt;br&gt;&lt;br&gt;A potted ficus plant with slender, winding stems and a thick bush of leaves on top is potted in a terra-cotta pot. Approximately 37" W x 60" H</t>
  </si>
  <si>
    <t>An elegant expression of sympathy, this wondrous white and green spray conveys purity and peace. A glorious choice for a magnificent memorial.&lt;br&gt;&lt;br&gt;This gorgeous array of green roses, green carnations, white gladioli, white stock, white cushion spray chrysanthemums and bells of Ireland is accented with green ti leaves, spiral eucalyptus and lemon leaf. Approximately 29" W x 58 1/2" H</t>
  </si>
  <si>
    <t>Your sincere wishes for peace and harmony resonate beautifully in this perfectly balanced arrangement of pink lilies, yellow gerberas and purple larkspur.&lt;br&gt;&lt;br&gt;_x000D_This inspiring spray includes pink stargazer lilies, yellow gerberas, yellow alstroemeria, pink gladioli, purple carnations and purple larkspur accented with oregonia and lemon leaf. Approximately 24" W x 55" H</t>
  </si>
  <si>
    <t>Take a walk through the garden of memories with this lush spray of lavender and purple blooms, accented with fresh green ti leaves. It's a joyful expression of sympathy sure to be appreciated.&lt;br&gt;&lt;br&gt;This regal spray includes lavender roses, lavender alstroemeria, lavender gladioli, lavender stock, purple cushion spray chrysanthemums, purple sinuata statice, green ti leaves, flat cedar, oregonia and lemon leaf. Approximately 29 1/2" W x 43 1/2" H</t>
  </si>
  <si>
    <t>Celebrate the light they brought into your life with this bright, beautiful spray of lilies and gerberas in sunshiny shades of peach and orange. A truly uplifting addition to the memorial service.&lt;br&gt;&lt;br&gt;This glorious spray includes peach asiatic lilies, orange gerberas, orange carnations, peach stock and white cushion spray chrysanthemums, accented with flat cedar, leatherleaf fern and lemon leaf. Approximately 22 1/2" W x 34" H</t>
  </si>
  <si>
    <t>calc w</t>
  </si>
  <si>
    <t>calc h</t>
  </si>
  <si>
    <t>A large ribbon with your personal message added to the floral bouquet.</t>
  </si>
  <si>
    <t>Location</t>
  </si>
  <si>
    <t>Width px</t>
  </si>
  <si>
    <t>Height px</t>
  </si>
  <si>
    <t>alt desc</t>
  </si>
  <si>
    <t>SKU</t>
  </si>
  <si>
    <t>Price</t>
  </si>
  <si>
    <t>(display image: Floral Ribbon)</t>
  </si>
  <si>
    <t xml:space="preserve">Casket spray of orange roses and lilies and other brilliantly colored floral favorites. </t>
  </si>
  <si>
    <t>Lavender roses, purple alstroemeria and other favorites artistically arranged and placed on top of the casket.</t>
  </si>
  <si>
    <t>Purple hydrangea, hot pink roses, peach spray roses, pink stargazer lilies, peach miniature gerberas, green gladioli, pink carnations, yellow snapdragons, lavender stock and solidago, accented with assorted greenery.</t>
  </si>
  <si>
    <t>Peach roses, light pink spray roses, coral spray roses, light orange gerberas, light orange carnations, light yellow stock and peach hypericum, accented with satin ribbon and assorted greenery.</t>
  </si>
  <si>
    <t>White alstroemeria, white snapdragons, white chrysanthemums, white spider chrysanthemums and million star gypsophila, accented with assorted greenery.</t>
  </si>
  <si>
    <t>Dark pink alstroemeria, hot pink carnations, pink carnations and miniature light pink carnations accented with huckleberry and eucalyptus.</t>
  </si>
  <si>
    <t>Yellow asiatic lilies with orange orchids and roses, red gladioli, pink protea and yellow chrysanthemums are draped across the casket amidst radiating ferns, greens and leaves.</t>
  </si>
  <si>
    <t>Yellow flowers such as roses, carnations, chrysanthemums, snapdragons and solidago, set with huckleberry and leatherleaf fern.</t>
  </si>
  <si>
    <t>Pure white oriental lilies, gladioli, carnations and stock blend with fragrant greens to create a beautiful crescent-shaped half-casket spray.</t>
  </si>
  <si>
    <t>Dazzling red roses and gerberas, brilliant white chrysanthemums and larkspur are arranged with gentle greens to create a strong yet soothing arrangement.</t>
  </si>
  <si>
    <t>Radiant red carnations and miniature carnations accented by fresh greenery arrive in a lovely spray.</t>
  </si>
  <si>
    <t>Yellow blossoms such as roses, gladioli, chrysanthemums and more are perfectly arranged in this lovely casket spray.</t>
  </si>
  <si>
    <t>Brilliant flowers such as blue hydrangea, red roses, white oriental lilies and much more create this dignified way to honor the deceased.</t>
  </si>
  <si>
    <t>Pink hydrangea, larkspur and roses mingle with white roses, stock and waxflower. Ivy, fern and fragrant eucalyptus act as green accents in this spray that rests atop the casket.</t>
  </si>
  <si>
    <t>Lovely lavender and pink roses, snapdragons, alstroemeria, chrysanthemums, fern, eucalyptus and more create this tribute that is overflowing with grace and love.</t>
  </si>
  <si>
    <t xml:space="preserve"> Lovely flowers such as creme roses, white gladioli, stock and carnations, gracefully arranged with sword fern and other greens.</t>
  </si>
  <si>
    <t>_x000D_Beautiful flowers such as red roses, gerberas, gladioli and carnations set amidst bells of Ireland, sword fern, bupleurum and salal, saddle-mounted for display.</t>
  </si>
  <si>
    <t>Roses, orchids, calla lilies and hydrangea accented by soft, trailing greens. White roses, orchids, large calla lilies and perfect stems of hydrangea.</t>
  </si>
  <si>
    <t>Red roses, spray roses and carnations along with graceful white gladioli and stock are arranged beautifully with ivy and salal.</t>
  </si>
  <si>
    <t>_x000D_Rich red roses and carnations are combined with salal and green ivy into a dramatic casket spray</t>
  </si>
  <si>
    <t>A loving embrace of 8-DOZEN rich, regal roses in an all-red spray to adorn the casket.</t>
  </si>
  <si>
    <t xml:space="preserve">Light orange roses, light orange spray roses, orange asiatic lilies, red alstroemeria, green button spray chrysanthemums, bells of Ireland and huckleberry. </t>
  </si>
  <si>
    <t>Gorgeous peach roses are arranged with light yellow spray roses, pink alstroemeria, light yellow carnations, miniature peach carnations, pitta negra and variegated ivy.</t>
  </si>
  <si>
    <t>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t>
  </si>
  <si>
    <t>White dendrobium orchids, white roses, white spray roses, a white carnation and white larkspur, accented with assorted greenery.</t>
  </si>
  <si>
    <t>White spray roses and white asiatic lilies, framed by fresh salal.</t>
  </si>
  <si>
    <t>A 50-bead rosary is decorated with red spray roses.</t>
  </si>
  <si>
    <t>White spray roses surrounded by red miniature carnations formed in the shape of a heart.</t>
  </si>
  <si>
    <t>Hot pink spray roses and light pink miniature carnations tied with pink satin ribbon, accented with green ivy.</t>
  </si>
  <si>
    <t xml:space="preserve"> Classic red roses hand-tied with generous yards of satin ribbon.</t>
  </si>
  <si>
    <t>Hot pink roses, pink asiatic lilies, pink gladioli, hot pink carnations, pink larkspur, red ti leaves, Italian ruscus and lemon leaf.</t>
  </si>
  <si>
    <t>Pink stargazer lilies, lavender roses and yellow snapdragons are arranged with peach gerberas, hot pink carnations, lavender stock, bells of Ireland, purple larkspur, spiral eucalyptus and lemon leaf.</t>
  </si>
  <si>
    <t>25 stems of light pink oriental lilies mounted on a 15" wreath base.</t>
  </si>
  <si>
    <t>Carnations, chrysanthemums, silky green cymbidium orchid blossoms and variegated greenery.</t>
  </si>
  <si>
    <t>Richly colored flowers such as orange roses, green hydrangea, brown cymbidium orchids and yellow chrysanthemums.</t>
  </si>
  <si>
    <t>Pink roses are lovingly arranged with ivy and other gentle greens to display the urn.</t>
  </si>
  <si>
    <t xml:space="preserve">A mix of dramatic flowers such as purple orchids and asters, orange, dark pink and lavender roses, pink and peach carnations, lavender larkspur, green chrysanthemums, and a range of pink blooms including oriental lilies, gerberas, snapdragons and more. </t>
  </si>
  <si>
    <t>A subdued assortment of flowers such as lavender larkspur, roses and asters are grouped beautifully with the rich greens of cymbidium orchids, chrysanthemums, English boxwood and sword fern.</t>
  </si>
  <si>
    <t>Large white calla lilies pair with white roses and lush greens that include soft, airy sword fern and glossy aspidistra.</t>
  </si>
  <si>
    <t>One white chrysanthemum solid-flower cross on an easel arrives decorated with a cluster of red carnations.</t>
  </si>
  <si>
    <t>One natural birch cross on an easel arrives with a cluster of vibrant fresh flowers including asters, roses and delphinium.</t>
  </si>
  <si>
    <t>The moss-covered cross features a diagonal swag of peach roses and pink carnations, and is delivered on an easel.</t>
  </si>
  <si>
    <t>Green hydrangea, green trick dianthus, variegated pittospourum, accented with Israeli ruscus and other assorted greenery.</t>
  </si>
  <si>
    <t>Green hydrangea along with a dazzling mix of exotic green flowers and leaves create a beautiful and textured cross, delivered on an easel.</t>
  </si>
  <si>
    <t>A natural river cane cross is adorned with a brilliant display of flowers and greenery, such as orange mokara orchids, roses and spray roses, green ti leaves, umbrella and sword fern and galax leaves, all in an arrangement that is as exceptional as it is beautiful.</t>
  </si>
  <si>
    <t>Lavender roses, carnations and cushion spray chrysanthemums along with fuchsia and purple carnations and button spray chrysanthemums create a dazzling cross that is full of hope and devotion.</t>
  </si>
  <si>
    <t>Creme roses, white spray roses, oriental lilies, stock, leptosporum, cushion and button spray chrysanthemums create a cross that is a beautiful way to honor a loved one.</t>
  </si>
  <si>
    <t>A traditional standing cross in all white with a burst of red roses in the center.</t>
  </si>
  <si>
    <t>A beautiful palette of pastel colors form this standing cross.</t>
  </si>
  <si>
    <t>This standing easel cross features a white background with red roses.</t>
  </si>
  <si>
    <t>Red carnations, white chrysanthemums and stock, along with eucalyptus and fern, is delivered in a willow fireside basket.</t>
  </si>
  <si>
    <t>White carnations and decorative foliage is delivered in a natural-textured basket.</t>
  </si>
  <si>
    <t>Satin ribbon is threaded throughout to complement the soft look. Beautiful blooms such as white and light pink roses with white larkspur, white mums and silvery dusty miller. Arranged in a white handled basket and accented with satin ribbon.</t>
  </si>
  <si>
    <t>White roses, alstroemeria and larkspur along with pink spray roses are beautifully arranged in a natural-tone wicker basket.</t>
  </si>
  <si>
    <t>White lilies, carnations and miniature carnations mix with vibrant greens in a large basket.</t>
  </si>
  <si>
    <t>Oorange and yellow roses, pink matsumoto asters, white daisies, green button mums, white monte cassino asters, delicate solidago and fresh greens such as salal and variegated pittosporum.</t>
  </si>
  <si>
    <t xml:space="preserve"> White and purple funeral flowers such as deep purple hydrangea, lavender roses, white spray roses and white waxflower are accented with rich green ivy and variegated pittosporum in a natural basket with a handle.</t>
  </si>
  <si>
    <t>A wicker basket featuring sunflowers, lilies, and roses.</t>
  </si>
  <si>
    <t>A blend of asters, delphinium, heather, iris and roses in a natural basket.</t>
  </si>
  <si>
    <t>Beautiful flowers such as pink carnations and alstroemeria, lavender button and daisy spray chrysanthemums along with white cushion spray chrysanthemums and more fill a lovely round wicker basket.</t>
  </si>
  <si>
    <t>Hot pink roses, spray roses, ranunculus and peonies, purple cymbidium orchids, pink Oriental lilies, lavender stock and green hydrangea - accented with seeded eucalyptus and black pittosporum - are delivered in a clear glass cylinder vase.</t>
  </si>
  <si>
    <t>Pink Oriental lilies, tulips, larkspur and gerberas, lavender and red roses, white hydrangea, hot pink ranunculus, purple Monte Cassino asters and stock, plus salal, are arranged in a clear glass hurricane vase.</t>
  </si>
  <si>
    <t>Pink roses, snapdragons, Oriental lilies and heather, hot pink peonies, light pink tulips and green hydrangea - plus purple tulips, hydrangea and stock - are delivered in a clear glass hurricane vase.</t>
  </si>
  <si>
    <t>A lovely mix of blue hydrangea, green cymbidium orchids, mokara orchids, lavender roses and lots more are delivered in a footed and flared glass vase.</t>
  </si>
  <si>
    <t>Twenty-four stunning red roses are arranged with greenery and delivered in a feminine vase.</t>
  </si>
  <si>
    <t>Purple hydrangea, lavender roses, hot pink spray roses and white freesia.</t>
  </si>
  <si>
    <t>Red roses, red alstroemeria, orange gladioli, orange carnations and bells of Ireland, accented with assorted greenery and delivered in a clear glass Ming urn.</t>
  </si>
  <si>
    <t>Blue hydrangea, pink oriental lilies, yellow snapdragons and purple stock, accented with assorted greenery, delivered in a clear glass Ming urn.</t>
  </si>
  <si>
    <t>Peach roses, peach gerberas, orange alstroemeria, peach gladioli, yellow snapdragons and yellow stock, accented with assorted greenery and delivered in a glass trumpet vase.</t>
  </si>
  <si>
    <t>description</t>
  </si>
  <si>
    <t>Six large white calla lilies in glass vase inside a silver-toned sleeve adorned with a cut-out cross.</t>
  </si>
  <si>
    <t>White roses, white spray roses, white asiatic lilies, white stock and queen anne's lace, accented with assorted greenery and delivered in a silver scalloped design bowl.</t>
  </si>
  <si>
    <t>Five stems of white asiatic lilies, accented with assorted greenery.</t>
  </si>
  <si>
    <t>Pink alstroemeria, pink carnations, hot pink miniature carnations, white daisy spray chrysanthemums and white waxflower, accented with assorted greenery.</t>
  </si>
  <si>
    <t>Thirty red roses in an urn vase are complemented by fragrant eucalyptus.</t>
  </si>
  <si>
    <t>Sixteen red roses are presented with fragrant eucalyptus in a lovely glass vase.</t>
  </si>
  <si>
    <t>Lavender and pink flowers such as roses, hydrangea, monte cassino asters, eucalyptus and salal are arranged in a clear glass hurricane vase.</t>
  </si>
  <si>
    <t>A classic assortment of flowers such as lavender larkspur, stock and roses, plus purple asters, white gladioli and pink heather.</t>
  </si>
  <si>
    <t>White, creme, and light pink roses nestled with hydrangea, lilies, Queen Anne's lace, bouvardia and dusty miller in a classic clear-glass cinched hurricane vase.</t>
  </si>
  <si>
    <t>_x000D_Deep red roses nestled with ivy, ming fern and Israeli ruscus, presented in a clear glass Jewel vase.</t>
  </si>
  <si>
    <t>A fragrant mix of pure white blooms - including roses, alstroemeria, stock, carnations and waxflower - is accented with dusty miller and variegated pittosporum around an exclusive Crystal Cross keepsake.</t>
  </si>
  <si>
    <t>_x000D_White funeral flowers such as roses, asiatic lilies, stock, snapdragons and freesia are accented with salal, myrtle and pitta negra around a porcelain Sacred Grace keepsake figure.</t>
  </si>
  <si>
    <t>Funeral flowers such as purple cushion spray mums, purple carnations, lavender gladioli and lavender Cremon mums are accented with leatherleaf fern in an exclusive Garlands of Grace urn.</t>
  </si>
  <si>
    <t>Pink blooms such as hydrangea, roses and alstroemeria are mixed with white flowers including stock, asiatic lilies and white Cremon chrysanthemums, delivered in Teleflora's exclusive Garlands of Grace urn.</t>
  </si>
  <si>
    <t>Tasteful flowers such as light blue hydrangea, creme roses, white asiatic lilies, miniature carnations and more are delivered in a lovely white French Country Pot.</t>
  </si>
  <si>
    <t>A beautiful Mercury Glass Bowl presents a soft mix of creme roses, white hydrangea and white lisianthus accented with seeded eucalyptus.</t>
  </si>
  <si>
    <t>Yellow gladioli, lavender daisy spray chrysanthemums, pink carnations and solidago accented with assorted greenery are delivered with a 7 inch high, multifaceted Crystal Cross.</t>
  </si>
  <si>
    <t>Beautiful dark pink hydrangea, red and lavender roses, carnations in dark purple and lavender, hot pink freesia and lavender phlox are perfectly arranged in a simply lovely cylinder vase.</t>
  </si>
  <si>
    <t>Asiatic lilies, alstroemeria and birds of paradise are accented with red hypericum, ti leaves, galax leaves, oregonia and bamboo-like equisetum. Delivered in a dark brown bamboo dish.</t>
  </si>
  <si>
    <t>A profusion of purple, pink and lavender blooms such as roses, carnations, larkspur, matsumoto and monte cassino asters and much more are delivered in a round wicker basket.</t>
  </si>
  <si>
    <t>Dieffenbachia, fern, ivy and spathiphyllum arrive in a simple round dish.</t>
  </si>
  <si>
    <t>One palm plant  in a rattan pot cover.</t>
  </si>
  <si>
    <t>A white phalaenopsis orchid plant arrives in an exclusive bamboo cube. Now that's the kind of opulence anyone can appreciate.</t>
  </si>
  <si>
    <t>A lavender phalaenopsis orchid plant arrives in an exclusive bamboo cube. It's almost too good to be true.</t>
  </si>
  <si>
    <t>Hot pink roses are planted in a classic ceramic planter.</t>
  </si>
  <si>
    <t>A round wicker flower basket holding five unique potted plant varieties: maidenhair fern, Boston fern, pink kalanchoe, pink hypoestes and green nephthytis.</t>
  </si>
  <si>
    <t>A flowering pink azalea houseplant, delightfully presented in a white ceramic planter.</t>
  </si>
  <si>
    <t>Two ivy plants along with white and yellow kalanchoe fill a charming round basket.</t>
  </si>
  <si>
    <t>A purple African violet, yellow begonia, pink kalanchoe and white hypoestes are arranged in a pretty round basket.</t>
  </si>
  <si>
    <t>Two yellow rose potted plants and two purple-blue African violet plants are nestled in a natural Nantucket basket with handle.</t>
  </si>
  <si>
    <t>Hot pink azalea, dieffenbachia, nephthytis, hypoestes, spathiphyllum and variegated ivy arranged in a natural basket with sheet moss decoration.</t>
  </si>
  <si>
    <t>_x000D_A beautiful blue hydrangea plant presented in a white ceramic planter</t>
  </si>
  <si>
    <t>A lush Boston fern plant delivered in a classic Gardens of Grace container.</t>
  </si>
  <si>
    <t>_x000D_Peaceful flowers such as pink asiatic lilies, pink roses and pink cymbidium orchids are presented with variegated ti leaves, bear grass and curly willow.</t>
  </si>
  <si>
    <t>A mix of living potted plants is arranged in a green ceramic dish for a stylish, monochromatic look.&lt;br&gt;&lt;br&gt;_x000D_Dieffenbachia, dracaena sanderiana, variegated ivy, palm, variegated peperomia and green philodendron.</t>
  </si>
  <si>
    <t>A lush garden of potted flowering plants includes yellow miniature roses, pink azalea, African violets, hot pink hypoestes and green ivy.</t>
  </si>
  <si>
    <t>A miniature garden of living plants includes dracaena, variegated ivy, palm, spathiphyllum and white butterfly syngonium, arranged in a low white bowl with river rocks, sheet moss and bark accents.</t>
  </si>
  <si>
    <t>A green garden of growing plants includes potted croton, dieffenbachia, green ivy, pothos, schefflera and white butterfly syngonium.</t>
  </si>
  <si>
    <t>Mixed potted plants including kalanchoes, ivy, nephthytis and crotons are arranged in a vase.</t>
  </si>
  <si>
    <t>A potted croton plant, marked by colorful, stiff, waxy leaves that point upward, is delivered in a square planter.&lt;br&gt;&lt;br&gt;This plant should be kept out of the reach of children and pets.</t>
  </si>
  <si>
    <t>Pothos, nephthytis, dieffenbachia, croton and peperomia plants are perfectly arranged in a distinctive willow rope basket.</t>
  </si>
  <si>
    <t>This large spathiphyllum is delivered in a charming 12" basket.</t>
  </si>
  <si>
    <t>This spathiphyllum comes in an 8" woven wicker basket.</t>
  </si>
  <si>
    <t>A brilliant green spathiphyllum is delivered in a natural wicker basket.</t>
  </si>
  <si>
    <t>A schefflera arboricola plant is presented in a neutral gray planter.</t>
  </si>
  <si>
    <t>&gt;A potted dieffenbachia plant is presented in an elegant, Asian-style red planter.</t>
  </si>
  <si>
    <t>A potted ficus plant with slender, winding stems and a thick bush of leaves on top is potted in a terra-cotta pot.</t>
  </si>
  <si>
    <t>Mixed phalaenopsis orchids - one white, one lavender and one green - are potted in a ceramic planter with river rocks.</t>
  </si>
  <si>
    <t>A red bromeliad plant is delivered in a brown bamboo cube.</t>
  </si>
  <si>
    <t>A mix of fresh white flowers such as Asiatic lilies, roses and carnations - accented with eucalyptus - is delivered in a Teleflora Noble Heritage urn.</t>
  </si>
  <si>
    <t>A classic mixture of red and white carnations in a traditional white funeral basket.</t>
  </si>
  <si>
    <t>One fan-shaped design of light and dark pink carnations with complementing foliage and a pink ribbon is delivered in a traditional container.</t>
  </si>
  <si>
    <t>One arrangement with pink gladioli and carnations, lavender stock, white Monte Cassino asters, purple and yellow and chrysanthemums is delivered in a funeral basket with handle.</t>
  </si>
  <si>
    <t>One arrangement with pink carnations, yellow and lavender daisies, and yellow gladioli, along with a pink ribbon, is delivered in a white container.</t>
  </si>
  <si>
    <t>An opulent bouquet consisting of orange roses, orange asiatic lilies, green anthuriums, red gerberas, red gladioli and green carnations, accented with assorted greenery. It is delivered in a large bamboo cube.</t>
  </si>
  <si>
    <t>Pink hydrangea, lavender roses, pink oriental lilies, yellow gerberas, yellow alstroemeria, yellow snapdragons, purple larkspur and peach stock, accented with assorted greenery.</t>
  </si>
  <si>
    <t>White roses, white alstroemeria, white carnations, white snapdragons and white spider chrysanthemums, accented with assorted greenery and delivered in a silver jardinere vase.</t>
  </si>
  <si>
    <t>White spray roses and white asiatic lilies accented with salal. Delivered in a natural pot basket.</t>
  </si>
  <si>
    <t>Red roses, red gladioli, red carnations and white spider chrysanthemums, accented with assorted greenery. Delivered in a 14" fireside basket.</t>
  </si>
  <si>
    <t>Red roses, white alstroemeria and red carnations, accented with assorted greenery.</t>
  </si>
  <si>
    <t>Pink asiatic lilies, pink alstroemeria, hot pink carnations and pink miniature carnations accented with assorted greenery.</t>
  </si>
  <si>
    <t>_x000D_Bright flowers such as orange roses, gerberas and gladioli, along with myrtle and magnolia leaves are arranged in an exclusive Noble Heritage urn.</t>
  </si>
  <si>
    <t>A beautiful mix of all-American red, white and blue flowers such as hydrangea, roses, miniature carnations, snapdragons, chrysanthemums and more are perfectly arranged in a white urn.</t>
  </si>
  <si>
    <t>White and creme roses with fragrant seeded eucalyptus beautifully presented in a large basket.</t>
  </si>
  <si>
    <t>This red and white sympathy arrangement includes white asiatic lilies, red gladioli, red carnations, myrtle, sword fern and salal.</t>
  </si>
  <si>
    <t>A mix of fresh flowers such as red and white roses, oriental lilies, graceful gladioli, carnations and fragrant eucalyptus. Beautifully presented in a white urn.</t>
  </si>
  <si>
    <t>Two dozen red roses in an exclusive Noble Heritage urn.</t>
  </si>
  <si>
    <t>A mix of fresh pink blossoms like gladioli, alstroemeria, carnations and more are lovingly arranged in a white basket.</t>
  </si>
  <si>
    <t>Flowers such as peach roses and carnations accented with seeded eucalyptus, oregonia and salal in an exclusive Grecian Garden urn.</t>
  </si>
  <si>
    <t>Flowers such as peach roses, light pink spray roses, pink asiatic lilies, pink gerberas, pink alstroemeria, pink lisianthus, lavender and purple larkspur, purple limonium and greens including myrtle and salal.</t>
  </si>
  <si>
    <t>_x000D_Bright yellow blooms such as roses, gladioli, button mums, daisies and solidago, accented by leatherleaf fern.</t>
  </si>
  <si>
    <t>Bright flowers such as yellow asiatic lilies, snapdragons and daisy spray chrysanthemums along with green gladioli, purple alstroemeria and fresh greenery are beautifully delivered in a natural basket.</t>
  </si>
  <si>
    <t>Beautiful fresh flowers such as yellow asiatic lilies and gladioli contrast with purple carnations, statice and gladioli, plus lavender carnations and chrysanthemums in a rectangular basket with handle.</t>
  </si>
  <si>
    <t>Beautiful flowers such as blue hydrangea, lavender roses, snapdragons and daisy spray chrysanthemums along with yellow asiatic lilies, gerberas, gladioli, snapdragons and brilliant greenery are delivered in a lovely wicker basket.</t>
  </si>
  <si>
    <t>_x000D_Bountiful blooms such as hot pink roses, pink spray roses, pink hybrid lilies, yellow dahlias, pink gladioli, pink and purple larkspur, huckleberry and parviflora eucalyptus.</t>
  </si>
  <si>
    <t>This elegant bouquet features flowers such as creme roses, fragrant white oriental lilies, white carnations and greens including spiral and seeded eucalyptus and rich green salal.</t>
  </si>
  <si>
    <t>A wicker basket filled with flowers such as roses, carnations and calla lilies.</t>
  </si>
  <si>
    <t>One foliage-covered heart on an easel arrives decorated with a cluster of yellow roses and purple statice accented with pink ribbons.</t>
  </si>
  <si>
    <t>Two hearts together in a standing spray in rich, complementary shades of dark purple and lavender. Roses, cushion and button spray chrysanthemums and carnations in shades of dark purple and lavender, and adorned with a matching ribbon is delivered on an easel.</t>
  </si>
  <si>
    <t>One solid-flower heart arrives on an easel decorated with nosegay of pink, white and blue flowers mounted in the center.</t>
  </si>
  <si>
    <t>One open-center heart arrives on an easel covered with red carnations accented with curly willow and eucalyptus.</t>
  </si>
  <si>
    <t>One heart-shaped design arrives covered with white chrysanthemums, accented with a break of red roses. The heart is delivered on an easel.</t>
  </si>
  <si>
    <t>This heart-shaped spray with its purple and blue flowers, covered with lavender roses, blue iris and hydrangea and purple chrysanthemums and arrives on an easel.</t>
  </si>
  <si>
    <t>A lovely heart-shaped design created with lavender chrysanthemums, white daisies, yellow alstroemeria, pink asters and spray roses, delivered on an easel.</t>
  </si>
  <si>
    <t>Lovely flowers such as light pink roses, hydrangea and miniature carnations mix with lavender button spray chrysanthemums.</t>
  </si>
  <si>
    <t>Red roses, spray roses, carnations and miniature carnations are arranged with fern and ivy in the shape of a heart.</t>
  </si>
  <si>
    <t>A classic heart shape of solid red roses matched with deep red carnations are surrounded by variegated greens and fern.</t>
  </si>
  <si>
    <t>A heart in beautiful soft colors, featuring roses and hydrangeas.</t>
  </si>
  <si>
    <t>A solid heart filled with red roses.</t>
  </si>
  <si>
    <t>A spray of pink carnations, white spray chrysanthemums and rose accents with a pink ribbon is delivered on an easel.</t>
  </si>
  <si>
    <t>A standing spray of fresh flowers and tropical elements such as Asiatic lilies, orchids, Birds of Paradise, ginger, liatris, croton leaves and plumosus, delivered on an easel.</t>
  </si>
  <si>
    <t>One spray on an easel with pink ginger, purple dendrobium orchids and a single king protea.</t>
  </si>
  <si>
    <t>One standing spray arrives on an easel with yellow alstroemeria, carnations, chrysanthemums and gerberas.</t>
  </si>
  <si>
    <t>One spray on an easel arrives decorated with white gladioli, snapdragons and stock, accented with red carnations.</t>
  </si>
  <si>
    <t>A standing spray on an easel decorated with red carnations, gladioli and roses with crimson red streamers.</t>
  </si>
  <si>
    <t>A spray of stargazer lilies, red gerberas and lavender stock, delivered on an easel.</t>
  </si>
  <si>
    <t>A spray of yellow sunflowers and gerberas, along with curly willow and decorative foliage, delivered on an easel.</t>
  </si>
  <si>
    <t>A spray of pink carnations, peach gerberas, yellow gladioli, blue iris and lavender Monte Cassino asters, delivered on an easel.</t>
  </si>
  <si>
    <t>A lovely spray combining  pink and peach gladioli, tied with a pink satin ribbon and delivered on an easel.</t>
  </si>
  <si>
    <t>A traditional spray,  decorated with white carnations, chrysanthemums and gladioli, is accented with rich green foliage, delivered on an easel.</t>
  </si>
  <si>
    <t>An elegant array of green roses, green carnations, white gladioli, white stock, white cushion spray chrysanthemums and bells of Ireland is accented with green ti leaves, spiral eucalyptus and lemon leaf.</t>
  </si>
  <si>
    <t xml:space="preserve">_x000D_This inspiring spray includes pink stargazer lilies, yellow gerberas, yellow alstroemeria, pink gladioli, purple carnations and purple larkspur accented with oregonia and lemon leaf. </t>
  </si>
  <si>
    <t xml:space="preserve">This regal spray includes lavender roses, lavender alstroemeria, lavender gladioli, lavender stock, purple cushion spray chrysanthemums, purple sinuata statice, green ti leaves, flat cedar, oregonia and lemon leaf. </t>
  </si>
  <si>
    <t xml:space="preserve">This glorious spray includes peach asiatic lilies, orange gerberas, orange carnations, peach stock and white cushion spray chrysanthemums, accented with flat cedar, leatherleaf fern and lemon leaf. </t>
  </si>
  <si>
    <t>A stunning arrangement including orange Asiatic lilies, red gladioli, green carnations, peach hypericum, emerald palm and red ti leaves, accented with assorted greenery.</t>
  </si>
  <si>
    <t>A radiant arrangement including red roses, red gladioli, red carnations and red miniature carnations, accented with assorted greenery.</t>
  </si>
  <si>
    <t>A fountain of  peach roses, orange bi-color roses, peach spray roses, peach asiatic lilies, orange alstroemeria, peach carnations and bells of Ireland, accented with assorted greenery.</t>
  </si>
  <si>
    <t>As gorgeous spray of white roses,white Asiatic lilies and white carnations, accented with assorted greenery and decorated with a tasteful white satin ribbon.</t>
  </si>
  <si>
    <t>A  magnificent spray composed of red gladioli, red carnations and white cushion spray chrysanthemums, accented with emerald palm and leatherleaf fern.</t>
  </si>
  <si>
    <t>A lovely mix of flowers such as lavender roses, chrysanthemums, statice and asters are beautifully complemented by glossy green aspidistra leaves, fern and fragrant eucalyptus.</t>
  </si>
  <si>
    <t>Lavender, purple and white flowers like hydrangea, orchids, roses, oriental lilies and more create a beautiful spray.</t>
  </si>
  <si>
    <t>A lovely assortment of flowers such as lavender gladioli and cushion spray chrysanthemums, yellow snapdragons, carnations and daisy spray chrysanthemums, hot pink roses, purple hydrangea, asters and assorted greens are all presented on an easel.</t>
  </si>
  <si>
    <t>Splendid pink, hot pink and light pink flowers such as alstroemeria, gladioli, carnations, asters and more create a display that is warm and loving.</t>
  </si>
  <si>
    <t>Stems of flowers such as pink lilies, gladioli and carnations with yellow snapdragons, and daisy spray mums, accented by variegated greens and eucalyptus.</t>
  </si>
  <si>
    <t>Lavender, purple and pink blossoms including roses, larkspur, alstroemeria and more are beautifully arranged and decorated with a pretty pink organza ribbon.</t>
  </si>
  <si>
    <t>A lovely assortment of flowers such as pink roses, larkspur, asiatic lilies, gerberas and sinuata statice, with peach roses and carnations, purple stock and limonium, and bells of Ireland on a classic easel.</t>
  </si>
  <si>
    <t>Fresh roses and opulent blooms such as orchids and gladioli - in celestial colors of green, purple and lavender - create a fine and appropriate floral standing spray. Fresh flowers such as gladioli, roses, dendrobium orchids and hydrangea - in shades of green, purple and lavender, delivered on an easel.</t>
  </si>
  <si>
    <t>A stunning spray of flowers such as green roses, gladioli and button spray chrysanthemums, pink spray roses and carnations, light pink oriental lilies and snapdragons are arranged with a mix of beautiful greenery in a standing spray of flowers that's delivered on an easel.</t>
  </si>
  <si>
    <t>Red gerberas and carnations complement white orchids, snapdragons and chrysanthemums, all set against the deep greens of tropical palm leaves and ferns.</t>
  </si>
  <si>
    <t>An elegant tribute of lovely flowers such as white asiatic lilies and roses blend with blue delphinium and hydrangea, set amidst ferns.</t>
  </si>
  <si>
    <t>A dazzling coral display of coral gladioli are arranged with pittosporum, salal and red ti leaves to create a spray of flowers that delivers beauty and strength.</t>
  </si>
  <si>
    <t>A breathtaking tropical assortment of flowers such as yellow asiatic lilies with orange orchids and roses, red gladioli and protea, and yellow chrysanthemums, delivered on an easel.</t>
  </si>
  <si>
    <t>A patriotic spray adorned with yards of multicolored  ribbon, featuring flowers such as red carnations, white asiatic lilies and snapdragons, and blue delphinium, along with an assortment of greens.</t>
  </si>
  <si>
    <t>Vivid hues of pink, lavender and purple. _x000D_Beautiful fresh flowers such as pink roses, oriental lilies and gladioli blend with purple stock, lavender carnations and fragrant greens.</t>
  </si>
  <si>
    <t>This elegant, all red funeral spray. Stunning blooms such as red roses, red gladioli and red carnations are accented with bells of Ireland, bupleurum, myrtle and salal on a classic wire easel.</t>
  </si>
  <si>
    <t>Pure white lilies and dendrobium orchids mingle with red roses, white asiatic lilies and more in this magnificent and impressive standing spray of the finest blooms.</t>
  </si>
  <si>
    <t>A traditional spray of mixed flowers in pure white beauty.</t>
  </si>
  <si>
    <t>Pastel blooms highlighted with a pink satin ribbon. &gt;_x000D_Peach roses, gerberas and carnations, pink asiatic lilies and lisianthus, along with purple limonium and lavender larkspur - accented by greens woven throughout - are presented on an easel-mounted wreath.</t>
  </si>
  <si>
    <t>Cool hues of green, purple and lavender is arranged into a wreath. A standing spray made of fresh flowers such as roses, hydrangea, gladioli, Dendrobium orchids, Bells of Ireland and lisianthus - in shades of green, purple and lavender, delivered on an easel.</t>
  </si>
  <si>
    <t>A simple, yet stylish wreath on an easel arrives with red carnations and roses, along with decorative natural foliage.</t>
  </si>
  <si>
    <t>Vivid red and white carnations cover the circular wreath mounted on an easel.</t>
  </si>
  <si>
    <t>A wreath of distinctive orange, yellow and blue flowers. Orange roses, yellow spray chrysanthemums, blue hydrangea, red amaranthus and purple asters.&gt;</t>
  </si>
  <si>
    <t>A wreath created with delicate pink and peach blossoms. One solid flower wreath features roses, carnations, asters and alstroemeria with soft foliage and showers of ribbon on an easel.</t>
  </si>
  <si>
    <t>A unique square easel wreath of purple and green flowers, including purple alstroemeria, green gladioli, green carnations, purple cushion spray chrysanthemums, lavender button spray chrysanthemums, green button spray chrysanthemums and purple button spray chrysanthemums, accented with assorted greenery.</t>
  </si>
  <si>
    <t>A square wreathmixing bright yellow roses and daisies, purple stock, green cymbidium orchids, hydrangea, gladioli, fuji mums and carnations.</t>
  </si>
  <si>
    <t>A patriotic red, white and blue wreath of blue hydrangea, red roses and spray roses, delicate blue delphinium, red gladioli, white cushion spray chrysanthemums and more create a circle of serene beauty.</t>
  </si>
  <si>
    <t>A standing wreath of dazzling flowers such as green hydrangea, hot pink spray roses, pink gladioli and carnations along with a multi-colored daisy spray and cushion spray chrysanthemums and greenery, delivered on an easel.</t>
  </si>
  <si>
    <t>A ring of fragrant, bright white blossoms will create a serene display at any funeral or wake. A classic wreath of bright white blossoms  is delivered on an easel. Created from fresh white flowers such as roses, Asiatic lilies, carnations and cushion spray chrysanthemums accented with greenery.</t>
  </si>
  <si>
    <t>Dazzling pink hydrangea, hot pink roses and carnations, red roses, spray roses and carnations, burgundy dahlias, dark pink Sweet William, lavender daisy and button spray chrysanthemums along with fern and other fresh greens create a beautiful wreath that comes delivered on an easel.</t>
  </si>
  <si>
    <t>Gorgeous pink hydrangea, creme roses, light pink spray roses, white chrysanthemums, waxflower and more are adorned by pink organza ribbon.</t>
  </si>
  <si>
    <t>A graceful standing wreath featuring green orchids, white gerbera daisies, and other soft colored flowers.</t>
  </si>
  <si>
    <t>VariantId</t>
  </si>
  <si>
    <t>Colors</t>
  </si>
  <si>
    <t>Casket &amp; Urn, Casket Sprays, Flower Shop, Red</t>
  </si>
  <si>
    <t>Flower Shop, Red, Standing Arrangements, Standing Sprays</t>
  </si>
  <si>
    <t>Flower Shop, Red, Standing Arrangements, Wreaths</t>
  </si>
  <si>
    <t>Blue, Flower Shop, Red, Standing Arrangements, White, Wreaths</t>
  </si>
  <si>
    <t>Casket &amp; Urn, Casket Sprays, Flower Shop, Green, Purple</t>
  </si>
  <si>
    <t>Flower Shop, For Home, House Plants, Purple, White</t>
  </si>
  <si>
    <t>Flower Shop, Pink, Standing Arrangements, Wreaths</t>
  </si>
  <si>
    <t>Orange, Red</t>
  </si>
  <si>
    <t>Purple, White</t>
  </si>
  <si>
    <t>Orange, Red, White</t>
  </si>
  <si>
    <t>Red</t>
  </si>
  <si>
    <t>Pink</t>
  </si>
  <si>
    <t>Green, White</t>
  </si>
  <si>
    <t>Pink, White</t>
  </si>
  <si>
    <t>Green</t>
  </si>
  <si>
    <t>White</t>
  </si>
  <si>
    <t>Green, White, Yellow</t>
  </si>
  <si>
    <t>Purple, Yellow</t>
  </si>
  <si>
    <t xml:space="preserve"> Orange</t>
  </si>
  <si>
    <t>Blue, Pink, Yellow</t>
  </si>
  <si>
    <t>Pink, Purple, Yellow</t>
  </si>
  <si>
    <t>Yellow</t>
  </si>
  <si>
    <t>Red, White</t>
  </si>
  <si>
    <t>Orange, Purple, Yellow</t>
  </si>
  <si>
    <t>Pink, Purple</t>
  </si>
  <si>
    <t>Blue, Red, White</t>
  </si>
  <si>
    <t>Green,  Yellow</t>
  </si>
  <si>
    <t>Orange, Purple, Red, Yellow</t>
  </si>
  <si>
    <t>Orange, Pink, Purple, Yellow</t>
  </si>
  <si>
    <t>Blue, Yellow</t>
  </si>
  <si>
    <t>Green, Pink, White</t>
  </si>
  <si>
    <t>Pink, Purple, Red, Yellow</t>
  </si>
  <si>
    <t>Orange, Pink, Purple</t>
  </si>
  <si>
    <t>Blue, Purple</t>
  </si>
  <si>
    <t>Pink, Red</t>
  </si>
  <si>
    <t>Pink,  White</t>
  </si>
  <si>
    <t>Green, Pink, Purple</t>
  </si>
  <si>
    <t>Orange, Yellow</t>
  </si>
  <si>
    <t>Orange</t>
  </si>
  <si>
    <t>Pink, Purple, White</t>
  </si>
  <si>
    <t>Blue, Pink, Purple, Yellow</t>
  </si>
  <si>
    <t>Pink, White, Yellow</t>
  </si>
  <si>
    <t>Purple</t>
  </si>
  <si>
    <t>Green, Purple</t>
  </si>
  <si>
    <t>Blue, White</t>
  </si>
  <si>
    <t>White, Yellow</t>
  </si>
  <si>
    <t>Green, Pink</t>
  </si>
  <si>
    <t>Pink, Yellow</t>
  </si>
  <si>
    <t>Green, Yellow</t>
  </si>
  <si>
    <t>Purple,  White</t>
  </si>
  <si>
    <t>Green, Pink, Purple, Yellow</t>
  </si>
  <si>
    <t>Green, Orange, Yellow</t>
  </si>
  <si>
    <t>Green, Orange</t>
  </si>
  <si>
    <t>Orange, Pink, Yellow</t>
  </si>
  <si>
    <t xml:space="preserve"> Orange, Pink</t>
  </si>
  <si>
    <t>Orange, Pink,  White</t>
  </si>
  <si>
    <t>Orange, Pink</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</si>
</sst>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00B050"/>
      <name val="Calibri"/>
      <family val="2"/>
      <scheme val="minor"/>
    </font>
    <font>
      <sz val="11"/>
      <color rgb="FF00B050"/>
      <name val="Calibri"/>
      <family val="2"/>
      <scheme val="minor"/>
    </font>
    <font>
      <b/>
      <sz val="11"/>
      <color theme="3" tint="0.39997558519241921"/>
      <name val="Calibri"/>
      <family val="2"/>
      <scheme val="minor"/>
    </font>
    <font>
      <sz val="11"/>
      <color theme="3" tint="0.39997558519241921"/>
      <name val="Calibri"/>
      <family val="2"/>
      <scheme val="minor"/>
    </font>
    <font>
      <sz val="11"/>
      <color theme="5"/>
      <name val="Calibri"/>
      <family val="2"/>
      <scheme val="minor"/>
    </font>
    <font>
      <b/>
      <sz val="11"/>
      <color theme="8" tint="-0.249977111117893"/>
      <name val="Calibri"/>
      <family val="2"/>
      <scheme val="minor"/>
    </font>
    <font>
      <sz val="11"/>
      <color theme="8" tint="-0.249977111117893"/>
      <name val="Calibri"/>
      <family val="2"/>
      <scheme val="minor"/>
    </font>
    <font>
      <sz val="11"/>
      <color rgb="FF000000"/>
      <name val="Calibri"/>
      <family val="2"/>
    </font>
    <font>
      <sz val="11"/>
      <color theme="4" tint="-0.249977111117893"/>
      <name val="Calibri"/>
      <family val="2"/>
      <scheme val="minor"/>
    </font>
    <font>
      <b/>
      <sz val="11"/>
      <color theme="4" tint="-0.249977111117893"/>
      <name val="Calibri"/>
      <family val="2"/>
      <scheme val="minor"/>
    </font>
    <font>
      <sz val="10"/>
      <color theme="4" tint="-0.249977111117893"/>
      <name val="Arial Unicode MS"/>
      <family val="2"/>
    </font>
    <font>
      <b/>
      <sz val="11"/>
      <color theme="4"/>
      <name val="Calibri"/>
      <family val="2"/>
      <scheme val="minor"/>
    </font>
    <font>
      <sz val="11"/>
      <color theme="4"/>
      <name val="Calibri"/>
      <family val="2"/>
      <scheme val="minor"/>
    </font>
    <font>
      <b/>
      <sz val="11"/>
      <name val="Calibri"/>
      <family val="2"/>
      <scheme val="minor"/>
    </font>
    <font>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6"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8">
    <xf numFmtId="0" fontId="0" fillId="0" borderId="0" xfId="0"/>
    <xf numFmtId="0" fontId="0" fillId="0" borderId="0" xfId="0" applyAlignment="1">
      <alignment wrapText="1"/>
    </xf>
    <xf numFmtId="0" fontId="0" fillId="33" borderId="0" xfId="0" applyFill="1"/>
    <xf numFmtId="0" fontId="0" fillId="0" borderId="0" xfId="0" applyFill="1"/>
    <xf numFmtId="0" fontId="16" fillId="0" borderId="0" xfId="0" applyFont="1"/>
    <xf numFmtId="0" fontId="14" fillId="0" borderId="0" xfId="0" applyFont="1"/>
    <xf numFmtId="0" fontId="18" fillId="0" borderId="0" xfId="0" applyFont="1"/>
    <xf numFmtId="0" fontId="19" fillId="0" borderId="0" xfId="0" applyFont="1"/>
    <xf numFmtId="0" fontId="19" fillId="34" borderId="0" xfId="0" applyFont="1" applyFill="1"/>
    <xf numFmtId="0" fontId="20" fillId="0" borderId="0" xfId="0" applyFont="1"/>
    <xf numFmtId="0" fontId="21" fillId="0" borderId="0" xfId="0" applyFont="1"/>
    <xf numFmtId="0" fontId="19" fillId="35" borderId="0" xfId="0" applyFont="1" applyFill="1"/>
    <xf numFmtId="2" fontId="16" fillId="0" borderId="0" xfId="0" applyNumberFormat="1" applyFont="1"/>
    <xf numFmtId="2" fontId="0" fillId="0" borderId="0" xfId="0" applyNumberFormat="1"/>
    <xf numFmtId="0" fontId="27" fillId="0" borderId="0" xfId="0" applyFont="1"/>
    <xf numFmtId="0" fontId="28" fillId="0" borderId="0" xfId="0" applyFont="1" applyAlignment="1">
      <alignment vertical="center"/>
    </xf>
    <xf numFmtId="0" fontId="26" fillId="0" borderId="0" xfId="0" applyFont="1"/>
    <xf numFmtId="0" fontId="29" fillId="0" borderId="0" xfId="0" applyFont="1" applyFill="1"/>
    <xf numFmtId="0" fontId="30" fillId="0" borderId="0" xfId="0" applyFont="1" applyFill="1"/>
    <xf numFmtId="0" fontId="31" fillId="0" borderId="0" xfId="0" applyFont="1"/>
    <xf numFmtId="0" fontId="32" fillId="0" borderId="0" xfId="0" applyFont="1"/>
    <xf numFmtId="0" fontId="16" fillId="36" borderId="0" xfId="0" applyFont="1" applyFill="1"/>
    <xf numFmtId="0" fontId="0" fillId="36" borderId="0" xfId="0" applyFill="1"/>
    <xf numFmtId="0" fontId="23" fillId="0" borderId="0" xfId="0" applyFont="1" applyFill="1"/>
    <xf numFmtId="0" fontId="24" fillId="0" borderId="0" xfId="0" applyFont="1" applyFill="1"/>
    <xf numFmtId="0" fontId="26" fillId="0" borderId="0" xfId="0" applyFont="1" applyFill="1"/>
    <xf numFmtId="0" fontId="26" fillId="0" borderId="0" xfId="0" applyFont="1" applyFill="1" applyAlignment="1">
      <alignment wrapText="1"/>
    </xf>
    <xf numFmtId="0" fontId="22" fillId="0"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10</xdr:row>
          <xdr:rowOff>9525</xdr:rowOff>
        </xdr:from>
        <xdr:to>
          <xdr:col>3</xdr:col>
          <xdr:colOff>85725</xdr:colOff>
          <xdr:row>12</xdr:row>
          <xdr:rowOff>104775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9"/>
  <sheetViews>
    <sheetView tabSelected="1" workbookViewId="0">
      <selection activeCell="E18" sqref="E18"/>
    </sheetView>
  </sheetViews>
  <sheetFormatPr defaultRowHeight="15" x14ac:dyDescent="0.25"/>
  <sheetData>
    <row r="1" spans="1:1" x14ac:dyDescent="0.25">
      <c r="A1" t="s">
        <v>1049</v>
      </c>
    </row>
    <row r="2" spans="1:1" x14ac:dyDescent="0.25">
      <c r="A2" t="s">
        <v>1050</v>
      </c>
    </row>
    <row r="3" spans="1:1" x14ac:dyDescent="0.25">
      <c r="A3" t="s">
        <v>1052</v>
      </c>
    </row>
    <row r="4" spans="1:1" x14ac:dyDescent="0.25">
      <c r="A4" t="s">
        <v>1060</v>
      </c>
    </row>
    <row r="5" spans="1:1" x14ac:dyDescent="0.25">
      <c r="A5" t="s">
        <v>1061</v>
      </c>
    </row>
    <row r="6" spans="1:1" x14ac:dyDescent="0.25">
      <c r="A6" s="5" t="s">
        <v>1062</v>
      </c>
    </row>
    <row r="8" spans="1:1" x14ac:dyDescent="0.25">
      <c r="A8" t="s">
        <v>1051</v>
      </c>
    </row>
    <row r="9" spans="1:1" x14ac:dyDescent="0.25">
      <c r="A9" t="s">
        <v>1053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HTML">
                <anchor moveWithCells="1" sizeWithCells="1">
                  <from>
                    <xdr:col>1</xdr:col>
                    <xdr:colOff>85725</xdr:colOff>
                    <xdr:row>10</xdr:row>
                    <xdr:rowOff>9525</xdr:rowOff>
                  </from>
                  <to>
                    <xdr:col>3</xdr:col>
                    <xdr:colOff>85725</xdr:colOff>
                    <xdr:row>12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12"/>
  <sheetViews>
    <sheetView topLeftCell="A100" workbookViewId="0">
      <selection activeCell="D214" sqref="D214"/>
    </sheetView>
  </sheetViews>
  <sheetFormatPr defaultRowHeight="16.5" customHeight="1" x14ac:dyDescent="0.25"/>
  <cols>
    <col min="1" max="1" width="30.5703125" customWidth="1"/>
    <col min="2" max="2" width="17.85546875" style="22" customWidth="1"/>
    <col min="3" max="3" width="19.28515625" style="20" customWidth="1"/>
    <col min="4" max="4" width="29.85546875" customWidth="1"/>
    <col min="5" max="5" width="15.85546875" style="27" customWidth="1"/>
    <col min="7" max="7" width="55.140625" bestFit="1" customWidth="1"/>
    <col min="8" max="8" width="11" style="7" customWidth="1"/>
    <col min="9" max="10" width="19" style="7" customWidth="1"/>
    <col min="11" max="12" width="19" style="10" customWidth="1"/>
    <col min="14" max="14" width="9.140625" style="13"/>
    <col min="16" max="16" width="65.5703125" customWidth="1"/>
  </cols>
  <sheetData>
    <row r="1" spans="1:16" s="4" customFormat="1" ht="16.5" customHeight="1" x14ac:dyDescent="0.25">
      <c r="A1" s="4" t="s">
        <v>0</v>
      </c>
      <c r="B1" s="21" t="s">
        <v>1309</v>
      </c>
      <c r="C1" s="19" t="s">
        <v>1308</v>
      </c>
      <c r="D1" s="4" t="s">
        <v>1</v>
      </c>
      <c r="E1" s="23" t="s">
        <v>1067</v>
      </c>
      <c r="F1" s="4" t="s">
        <v>2</v>
      </c>
      <c r="G1" s="4" t="s">
        <v>3</v>
      </c>
      <c r="H1" s="6"/>
      <c r="I1" s="6" t="s">
        <v>1065</v>
      </c>
      <c r="J1" s="6" t="s">
        <v>1064</v>
      </c>
      <c r="K1" s="9" t="s">
        <v>1087</v>
      </c>
      <c r="L1" s="9" t="s">
        <v>1088</v>
      </c>
      <c r="M1" s="4" t="s">
        <v>4</v>
      </c>
      <c r="N1" s="12" t="s">
        <v>5</v>
      </c>
      <c r="O1" s="4" t="s">
        <v>6</v>
      </c>
      <c r="P1" s="4" t="s">
        <v>7</v>
      </c>
    </row>
    <row r="2" spans="1:16" ht="16.5" customHeight="1" x14ac:dyDescent="0.25">
      <c r="A2" t="s">
        <v>323</v>
      </c>
      <c r="B2" s="22" t="s">
        <v>1317</v>
      </c>
      <c r="C2" s="20">
        <v>1114646077</v>
      </c>
      <c r="D2" s="7" t="s">
        <v>1066</v>
      </c>
      <c r="E2" s="24" t="s">
        <v>1097</v>
      </c>
      <c r="F2" t="s">
        <v>12</v>
      </c>
      <c r="G2" t="s">
        <v>324</v>
      </c>
      <c r="H2" s="7" t="s">
        <v>1054</v>
      </c>
      <c r="I2" s="7">
        <v>44</v>
      </c>
      <c r="J2" s="7">
        <v>25</v>
      </c>
      <c r="K2" s="10">
        <f>I2*2.5</f>
        <v>110</v>
      </c>
      <c r="L2" s="10">
        <f>J2*2.5</f>
        <v>62.5</v>
      </c>
      <c r="M2" t="s">
        <v>325</v>
      </c>
      <c r="N2" s="13">
        <v>279.99</v>
      </c>
      <c r="O2" t="s">
        <v>326</v>
      </c>
      <c r="P2" t="s">
        <v>327</v>
      </c>
    </row>
    <row r="3" spans="1:16" ht="16.5" customHeight="1" x14ac:dyDescent="0.25">
      <c r="A3" t="s">
        <v>931</v>
      </c>
      <c r="B3" s="22" t="s">
        <v>1318</v>
      </c>
      <c r="C3" s="20">
        <v>1114643705</v>
      </c>
      <c r="D3" t="s">
        <v>932</v>
      </c>
      <c r="E3" s="25" t="s">
        <v>1153</v>
      </c>
      <c r="F3" t="s">
        <v>12</v>
      </c>
      <c r="G3" t="s">
        <v>184</v>
      </c>
      <c r="H3" s="7" t="s">
        <v>1057</v>
      </c>
      <c r="I3" s="11">
        <v>20</v>
      </c>
      <c r="J3" s="11">
        <v>15</v>
      </c>
      <c r="K3" s="10">
        <f>I3*2.5</f>
        <v>50</v>
      </c>
      <c r="L3" s="10">
        <f>J3*2.5</f>
        <v>37.5</v>
      </c>
      <c r="M3" t="s">
        <v>933</v>
      </c>
      <c r="N3" s="13">
        <v>102.5</v>
      </c>
      <c r="O3" t="s">
        <v>934</v>
      </c>
      <c r="P3" t="s">
        <v>935</v>
      </c>
    </row>
    <row r="4" spans="1:16" ht="16.5" customHeight="1" x14ac:dyDescent="0.25">
      <c r="A4" t="s">
        <v>328</v>
      </c>
      <c r="B4" s="22" t="s">
        <v>1319</v>
      </c>
      <c r="C4" s="20">
        <v>1114646053</v>
      </c>
      <c r="D4" t="s">
        <v>329</v>
      </c>
      <c r="E4" s="25" t="s">
        <v>1271</v>
      </c>
      <c r="F4" t="s">
        <v>12</v>
      </c>
      <c r="G4" t="s">
        <v>17</v>
      </c>
      <c r="H4" s="7" t="s">
        <v>1056</v>
      </c>
      <c r="I4" s="7">
        <v>31</v>
      </c>
      <c r="J4" s="7">
        <v>50</v>
      </c>
      <c r="K4" s="10">
        <f>I4*2.5</f>
        <v>77.5</v>
      </c>
      <c r="L4" s="10">
        <f>J4*2.5</f>
        <v>125</v>
      </c>
      <c r="M4" t="s">
        <v>330</v>
      </c>
      <c r="N4" s="13">
        <v>189.99</v>
      </c>
      <c r="O4" t="s">
        <v>331</v>
      </c>
      <c r="P4" t="s">
        <v>332</v>
      </c>
    </row>
    <row r="5" spans="1:16" ht="16.5" customHeight="1" x14ac:dyDescent="0.25">
      <c r="A5" t="s">
        <v>645</v>
      </c>
      <c r="B5" s="22" t="s">
        <v>1320</v>
      </c>
      <c r="C5" s="20">
        <v>1114644885</v>
      </c>
      <c r="D5" t="s">
        <v>646</v>
      </c>
      <c r="E5" s="24" t="s">
        <v>1107</v>
      </c>
      <c r="F5" t="s">
        <v>12</v>
      </c>
      <c r="G5" t="s">
        <v>324</v>
      </c>
      <c r="H5" s="7" t="s">
        <v>1054</v>
      </c>
      <c r="I5" s="7">
        <v>37</v>
      </c>
      <c r="J5" s="7">
        <v>27</v>
      </c>
      <c r="K5" s="10">
        <f>I5*2.5</f>
        <v>92.5</v>
      </c>
      <c r="L5" s="10">
        <f>J5*2.5</f>
        <v>67.5</v>
      </c>
      <c r="M5" t="s">
        <v>647</v>
      </c>
      <c r="N5" s="13">
        <v>184.95</v>
      </c>
      <c r="O5" t="s">
        <v>648</v>
      </c>
      <c r="P5" t="s">
        <v>649</v>
      </c>
    </row>
    <row r="6" spans="1:16" ht="16.5" customHeight="1" x14ac:dyDescent="0.25">
      <c r="A6" t="s">
        <v>285</v>
      </c>
      <c r="B6" s="22" t="s">
        <v>1321</v>
      </c>
      <c r="C6" s="20">
        <v>1114646193</v>
      </c>
      <c r="D6" t="s">
        <v>1071</v>
      </c>
      <c r="E6" s="24" t="s">
        <v>1127</v>
      </c>
      <c r="F6" t="s">
        <v>12</v>
      </c>
      <c r="G6" t="s">
        <v>286</v>
      </c>
      <c r="H6" s="7" t="s">
        <v>1055</v>
      </c>
      <c r="I6" s="7">
        <v>27</v>
      </c>
      <c r="J6" s="7">
        <v>32</v>
      </c>
      <c r="K6" s="10">
        <f>I6*2.5</f>
        <v>67.5</v>
      </c>
      <c r="L6" s="10">
        <f>J6*2.5</f>
        <v>80</v>
      </c>
      <c r="M6" t="s">
        <v>287</v>
      </c>
      <c r="N6" s="13">
        <v>99.95</v>
      </c>
      <c r="O6" t="s">
        <v>288</v>
      </c>
      <c r="P6" t="s">
        <v>289</v>
      </c>
    </row>
    <row r="7" spans="1:16" ht="16.5" customHeight="1" x14ac:dyDescent="0.25">
      <c r="A7" t="s">
        <v>1010</v>
      </c>
      <c r="B7" s="22" t="s">
        <v>1326</v>
      </c>
      <c r="C7" s="20">
        <v>1114643325</v>
      </c>
      <c r="D7" t="s">
        <v>1011</v>
      </c>
      <c r="E7" s="25" t="s">
        <v>1293</v>
      </c>
      <c r="F7" t="s">
        <v>12</v>
      </c>
      <c r="G7" t="s">
        <v>17</v>
      </c>
      <c r="H7" s="7" t="s">
        <v>1056</v>
      </c>
      <c r="I7" s="8">
        <v>30</v>
      </c>
      <c r="J7" s="8">
        <v>55</v>
      </c>
      <c r="K7" s="10">
        <f>I7*2.5</f>
        <v>75</v>
      </c>
      <c r="L7" s="10">
        <f>J7*2.5</f>
        <v>137.5</v>
      </c>
      <c r="M7" t="s">
        <v>1012</v>
      </c>
      <c r="N7" s="13">
        <v>180</v>
      </c>
      <c r="O7" t="s">
        <v>1013</v>
      </c>
      <c r="P7" t="s">
        <v>1014</v>
      </c>
    </row>
    <row r="8" spans="1:16" ht="16.5" customHeight="1" x14ac:dyDescent="0.25">
      <c r="A8" t="s">
        <v>711</v>
      </c>
      <c r="B8" s="22" t="s">
        <v>1323</v>
      </c>
      <c r="C8" s="20">
        <v>1114644669</v>
      </c>
      <c r="D8" t="s">
        <v>712</v>
      </c>
      <c r="E8" s="24" t="s">
        <v>1110</v>
      </c>
      <c r="F8" t="s">
        <v>12</v>
      </c>
      <c r="G8" t="s">
        <v>324</v>
      </c>
      <c r="H8" s="7" t="s">
        <v>1054</v>
      </c>
      <c r="I8" s="7">
        <v>66</v>
      </c>
      <c r="J8" s="7">
        <v>28</v>
      </c>
      <c r="K8" s="10">
        <f>I8*2.5</f>
        <v>165</v>
      </c>
      <c r="L8" s="10">
        <f>J8*2.5</f>
        <v>70</v>
      </c>
      <c r="M8" t="s">
        <v>713</v>
      </c>
      <c r="N8" s="13">
        <v>459.95</v>
      </c>
      <c r="O8" t="s">
        <v>714</v>
      </c>
      <c r="P8" t="s">
        <v>715</v>
      </c>
    </row>
    <row r="9" spans="1:16" ht="16.5" customHeight="1" x14ac:dyDescent="0.25">
      <c r="A9" t="s">
        <v>979</v>
      </c>
      <c r="B9" s="22" t="s">
        <v>1324</v>
      </c>
      <c r="C9" s="20">
        <v>1114643449</v>
      </c>
      <c r="D9" t="s">
        <v>1079</v>
      </c>
      <c r="E9" s="25" t="s">
        <v>1211</v>
      </c>
      <c r="F9" t="s">
        <v>12</v>
      </c>
      <c r="G9" t="s">
        <v>205</v>
      </c>
      <c r="H9" s="7" t="s">
        <v>1063</v>
      </c>
      <c r="I9" s="7">
        <v>27</v>
      </c>
      <c r="J9" s="7">
        <v>35</v>
      </c>
      <c r="K9" s="10">
        <f>I9*2.5</f>
        <v>67.5</v>
      </c>
      <c r="L9" s="10">
        <f>J9*2.5</f>
        <v>87.5</v>
      </c>
      <c r="M9" t="s">
        <v>980</v>
      </c>
      <c r="N9" s="13">
        <v>99.95</v>
      </c>
      <c r="O9" t="s">
        <v>981</v>
      </c>
      <c r="P9" t="s">
        <v>982</v>
      </c>
    </row>
    <row r="10" spans="1:16" ht="16.5" customHeight="1" x14ac:dyDescent="0.25">
      <c r="A10" t="s">
        <v>238</v>
      </c>
      <c r="B10" s="22" t="s">
        <v>1326</v>
      </c>
      <c r="C10" s="20">
        <v>1114646333</v>
      </c>
      <c r="D10" t="s">
        <v>239</v>
      </c>
      <c r="E10" s="25" t="s">
        <v>1194</v>
      </c>
      <c r="F10" t="s">
        <v>12</v>
      </c>
      <c r="G10" t="s">
        <v>205</v>
      </c>
      <c r="H10" s="7" t="s">
        <v>1063</v>
      </c>
      <c r="I10" s="7">
        <v>13</v>
      </c>
      <c r="J10" s="7">
        <v>11</v>
      </c>
      <c r="K10" s="10">
        <f>I10*2.5</f>
        <v>32.5</v>
      </c>
      <c r="L10" s="10">
        <f>J10*2.5</f>
        <v>27.5</v>
      </c>
      <c r="M10" t="s">
        <v>240</v>
      </c>
      <c r="N10" s="13">
        <v>54.95</v>
      </c>
      <c r="O10" t="s">
        <v>241</v>
      </c>
      <c r="P10" t="s">
        <v>242</v>
      </c>
    </row>
    <row r="11" spans="1:16" ht="16.5" customHeight="1" x14ac:dyDescent="0.25">
      <c r="A11" t="s">
        <v>881</v>
      </c>
      <c r="B11" s="22" t="s">
        <v>1327</v>
      </c>
      <c r="C11" s="20">
        <v>1114643901</v>
      </c>
      <c r="D11" t="s">
        <v>882</v>
      </c>
      <c r="E11" s="25" t="s">
        <v>1239</v>
      </c>
      <c r="F11" t="s">
        <v>12</v>
      </c>
      <c r="G11" t="s">
        <v>41</v>
      </c>
      <c r="H11" s="7" t="s">
        <v>1059</v>
      </c>
      <c r="I11" s="7">
        <v>21</v>
      </c>
      <c r="J11" s="7">
        <v>28</v>
      </c>
      <c r="K11" s="10">
        <f>I11*2.5</f>
        <v>52.5</v>
      </c>
      <c r="L11" s="10">
        <f>J11*2.5</f>
        <v>70</v>
      </c>
      <c r="M11" t="s">
        <v>883</v>
      </c>
      <c r="N11" s="13">
        <v>94.95</v>
      </c>
      <c r="O11" t="s">
        <v>884</v>
      </c>
      <c r="P11" t="s">
        <v>885</v>
      </c>
    </row>
    <row r="12" spans="1:16" ht="16.5" customHeight="1" x14ac:dyDescent="0.25">
      <c r="A12" t="s">
        <v>936</v>
      </c>
      <c r="B12" s="22" t="s">
        <v>1325</v>
      </c>
      <c r="C12" s="20">
        <v>1114643689</v>
      </c>
      <c r="D12" t="s">
        <v>937</v>
      </c>
      <c r="E12" s="25" t="s">
        <v>1181</v>
      </c>
      <c r="F12" t="s">
        <v>12</v>
      </c>
      <c r="G12" t="s">
        <v>46</v>
      </c>
      <c r="H12" s="7" t="s">
        <v>1058</v>
      </c>
      <c r="I12" s="7">
        <v>13</v>
      </c>
      <c r="J12" s="7">
        <v>12</v>
      </c>
      <c r="K12" s="10">
        <f>I12*2.5</f>
        <v>32.5</v>
      </c>
      <c r="L12" s="10">
        <f>J12*2.5</f>
        <v>30</v>
      </c>
      <c r="M12" t="s">
        <v>938</v>
      </c>
      <c r="N12" s="13">
        <v>79.95</v>
      </c>
      <c r="O12" t="s">
        <v>939</v>
      </c>
      <c r="P12" t="s">
        <v>940</v>
      </c>
    </row>
    <row r="13" spans="1:16" ht="16.5" customHeight="1" x14ac:dyDescent="0.25">
      <c r="A13" t="s">
        <v>706</v>
      </c>
      <c r="B13" s="22" t="s">
        <v>1323</v>
      </c>
      <c r="C13" s="20">
        <v>1114644685</v>
      </c>
      <c r="D13" t="s">
        <v>707</v>
      </c>
      <c r="E13" s="25" t="s">
        <v>1175</v>
      </c>
      <c r="F13" t="s">
        <v>12</v>
      </c>
      <c r="G13" t="s">
        <v>46</v>
      </c>
      <c r="H13" s="7" t="s">
        <v>1058</v>
      </c>
      <c r="I13" s="7">
        <v>16</v>
      </c>
      <c r="J13" s="7">
        <v>16</v>
      </c>
      <c r="K13" s="10">
        <f>I13*2.5</f>
        <v>40</v>
      </c>
      <c r="L13" s="10">
        <f>J13*2.5</f>
        <v>40</v>
      </c>
      <c r="M13" t="s">
        <v>708</v>
      </c>
      <c r="N13" s="13">
        <v>154.99</v>
      </c>
      <c r="O13" t="s">
        <v>709</v>
      </c>
      <c r="P13" t="s">
        <v>710</v>
      </c>
    </row>
    <row r="14" spans="1:16" ht="16.5" customHeight="1" x14ac:dyDescent="0.25">
      <c r="A14" t="s">
        <v>520</v>
      </c>
      <c r="B14" s="22" t="s">
        <v>1321</v>
      </c>
      <c r="C14" s="20">
        <v>1114645233</v>
      </c>
      <c r="D14" t="s">
        <v>521</v>
      </c>
      <c r="E14" s="24" t="s">
        <v>1132</v>
      </c>
      <c r="F14" t="s">
        <v>12</v>
      </c>
      <c r="G14" t="s">
        <v>286</v>
      </c>
      <c r="H14" s="7" t="s">
        <v>1055</v>
      </c>
      <c r="I14" s="7">
        <v>33</v>
      </c>
      <c r="J14" s="7">
        <v>20</v>
      </c>
      <c r="K14" s="10">
        <f>I14*2.5</f>
        <v>82.5</v>
      </c>
      <c r="L14" s="10">
        <f>J14*2.5</f>
        <v>50</v>
      </c>
      <c r="M14" t="s">
        <v>522</v>
      </c>
      <c r="N14" s="13">
        <v>194.95</v>
      </c>
      <c r="O14" t="s">
        <v>523</v>
      </c>
      <c r="P14" t="s">
        <v>524</v>
      </c>
    </row>
    <row r="15" spans="1:16" ht="16.5" customHeight="1" x14ac:dyDescent="0.25">
      <c r="A15" t="s">
        <v>116</v>
      </c>
      <c r="B15" s="22" t="s">
        <v>1328</v>
      </c>
      <c r="C15" s="20">
        <v>1114646801</v>
      </c>
      <c r="D15" t="s">
        <v>117</v>
      </c>
      <c r="E15" s="24" t="s">
        <v>1137</v>
      </c>
      <c r="F15" t="s">
        <v>12</v>
      </c>
      <c r="G15" t="s">
        <v>102</v>
      </c>
      <c r="H15" s="7" t="s">
        <v>1056</v>
      </c>
      <c r="I15" s="7">
        <v>36</v>
      </c>
      <c r="J15" s="7">
        <v>51</v>
      </c>
      <c r="K15" s="10">
        <f>I15*2.5</f>
        <v>90</v>
      </c>
      <c r="L15" s="10">
        <f>J15*2.5</f>
        <v>127.5</v>
      </c>
      <c r="M15" t="s">
        <v>118</v>
      </c>
      <c r="N15" s="13">
        <v>119.95</v>
      </c>
      <c r="O15" t="s">
        <v>119</v>
      </c>
      <c r="P15" t="s">
        <v>120</v>
      </c>
    </row>
    <row r="16" spans="1:16" ht="16.5" customHeight="1" x14ac:dyDescent="0.25">
      <c r="A16" t="s">
        <v>826</v>
      </c>
      <c r="B16" s="22" t="s">
        <v>1320</v>
      </c>
      <c r="C16" s="20">
        <v>1114644245</v>
      </c>
      <c r="D16" t="s">
        <v>827</v>
      </c>
      <c r="E16" s="25" t="s">
        <v>1252</v>
      </c>
      <c r="F16" t="s">
        <v>12</v>
      </c>
      <c r="G16" t="s">
        <v>22</v>
      </c>
      <c r="H16" s="7" t="s">
        <v>1056</v>
      </c>
      <c r="I16" s="7">
        <v>23</v>
      </c>
      <c r="J16" s="7">
        <v>24</v>
      </c>
      <c r="K16" s="10">
        <f>I16*2.5</f>
        <v>57.5</v>
      </c>
      <c r="L16" s="10">
        <f>J16*2.5</f>
        <v>60</v>
      </c>
      <c r="M16" t="s">
        <v>828</v>
      </c>
      <c r="N16" s="13">
        <v>217.95</v>
      </c>
      <c r="O16" t="s">
        <v>829</v>
      </c>
      <c r="P16" t="s">
        <v>830</v>
      </c>
    </row>
    <row r="17" spans="1:16" ht="16.5" customHeight="1" x14ac:dyDescent="0.25">
      <c r="A17" t="s">
        <v>906</v>
      </c>
      <c r="B17" s="22" t="s">
        <v>1329</v>
      </c>
      <c r="C17" s="20">
        <v>1114643805</v>
      </c>
      <c r="D17" t="s">
        <v>907</v>
      </c>
      <c r="E17" s="25" t="s">
        <v>1202</v>
      </c>
      <c r="F17" t="s">
        <v>12</v>
      </c>
      <c r="G17" t="s">
        <v>205</v>
      </c>
      <c r="H17" s="7" t="s">
        <v>1063</v>
      </c>
      <c r="I17" s="7">
        <v>17</v>
      </c>
      <c r="J17" s="7">
        <v>14</v>
      </c>
      <c r="K17" s="10">
        <f>I17*2.5</f>
        <v>42.5</v>
      </c>
      <c r="L17" s="10">
        <f>J17*2.5</f>
        <v>35</v>
      </c>
      <c r="M17" t="s">
        <v>908</v>
      </c>
      <c r="N17" s="13">
        <v>99.99</v>
      </c>
      <c r="O17" t="s">
        <v>909</v>
      </c>
      <c r="P17" t="s">
        <v>910</v>
      </c>
    </row>
    <row r="18" spans="1:16" ht="16.5" customHeight="1" x14ac:dyDescent="0.25">
      <c r="A18" t="s">
        <v>635</v>
      </c>
      <c r="B18" s="22" t="s">
        <v>1325</v>
      </c>
      <c r="C18" s="20">
        <v>1114644921</v>
      </c>
      <c r="D18" t="s">
        <v>636</v>
      </c>
      <c r="E18" s="24" t="s">
        <v>1105</v>
      </c>
      <c r="F18" t="s">
        <v>12</v>
      </c>
      <c r="G18" t="s">
        <v>324</v>
      </c>
      <c r="H18" s="7" t="s">
        <v>1054</v>
      </c>
      <c r="I18" s="7">
        <v>49</v>
      </c>
      <c r="J18" s="7">
        <v>27</v>
      </c>
      <c r="K18" s="10">
        <f>I18*2.5</f>
        <v>122.5</v>
      </c>
      <c r="L18" s="10">
        <f>J18*2.5</f>
        <v>67.5</v>
      </c>
      <c r="M18" t="s">
        <v>637</v>
      </c>
      <c r="N18" s="13">
        <v>254.99</v>
      </c>
      <c r="O18" t="s">
        <v>638</v>
      </c>
      <c r="P18" t="s">
        <v>639</v>
      </c>
    </row>
    <row r="19" spans="1:16" ht="16.5" customHeight="1" x14ac:dyDescent="0.25">
      <c r="A19" t="s">
        <v>741</v>
      </c>
      <c r="B19" s="22" t="s">
        <v>1325</v>
      </c>
      <c r="C19" s="20">
        <v>1114644573</v>
      </c>
      <c r="D19" t="s">
        <v>742</v>
      </c>
      <c r="E19" s="25" t="s">
        <v>1230</v>
      </c>
      <c r="F19" t="s">
        <v>12</v>
      </c>
      <c r="G19" t="s">
        <v>41</v>
      </c>
      <c r="H19" s="7" t="s">
        <v>1059</v>
      </c>
      <c r="I19" s="7">
        <v>25</v>
      </c>
      <c r="J19" s="7">
        <v>21</v>
      </c>
      <c r="K19" s="10">
        <f>I19*2.5</f>
        <v>62.5</v>
      </c>
      <c r="L19" s="10">
        <f>J19*2.5</f>
        <v>52.5</v>
      </c>
      <c r="M19" t="s">
        <v>743</v>
      </c>
      <c r="N19" s="13">
        <v>204.95</v>
      </c>
      <c r="O19" t="s">
        <v>744</v>
      </c>
      <c r="P19" t="s">
        <v>745</v>
      </c>
    </row>
    <row r="20" spans="1:16" ht="16.5" customHeight="1" x14ac:dyDescent="0.25">
      <c r="A20" t="s">
        <v>555</v>
      </c>
      <c r="B20" s="22" t="s">
        <v>1330</v>
      </c>
      <c r="C20" s="20">
        <v>1114645169</v>
      </c>
      <c r="D20" t="s">
        <v>556</v>
      </c>
      <c r="E20" s="25" t="s">
        <v>1278</v>
      </c>
      <c r="F20" t="s">
        <v>12</v>
      </c>
      <c r="G20" t="s">
        <v>17</v>
      </c>
      <c r="H20" s="7" t="s">
        <v>1056</v>
      </c>
      <c r="I20" s="7">
        <v>29</v>
      </c>
      <c r="J20" s="7">
        <v>55</v>
      </c>
      <c r="K20" s="10">
        <f>I20*2.5</f>
        <v>72.5</v>
      </c>
      <c r="L20" s="10">
        <f>J20*2.5</f>
        <v>137.5</v>
      </c>
      <c r="M20" t="s">
        <v>557</v>
      </c>
      <c r="N20" s="13">
        <v>147.94999999999999</v>
      </c>
      <c r="O20" t="s">
        <v>558</v>
      </c>
      <c r="P20" t="s">
        <v>559</v>
      </c>
    </row>
    <row r="21" spans="1:16" ht="16.5" customHeight="1" x14ac:dyDescent="0.25">
      <c r="A21" t="s">
        <v>75</v>
      </c>
      <c r="B21" s="22" t="s">
        <v>1331</v>
      </c>
      <c r="C21" s="20">
        <v>1114647021</v>
      </c>
      <c r="D21" t="s">
        <v>76</v>
      </c>
      <c r="E21" s="25" t="s">
        <v>1259</v>
      </c>
      <c r="F21" t="s">
        <v>12</v>
      </c>
      <c r="G21" t="s">
        <v>17</v>
      </c>
      <c r="H21" s="7" t="s">
        <v>1056</v>
      </c>
      <c r="I21" s="7">
        <v>24</v>
      </c>
      <c r="J21" s="7">
        <v>55</v>
      </c>
      <c r="K21" s="10">
        <f>I21*2.5</f>
        <v>60</v>
      </c>
      <c r="L21" s="10">
        <f>J21*2.5</f>
        <v>137.5</v>
      </c>
      <c r="M21" t="s">
        <v>77</v>
      </c>
      <c r="N21" s="13">
        <v>129.94999999999999</v>
      </c>
      <c r="O21" t="s">
        <v>78</v>
      </c>
      <c r="P21" t="s">
        <v>79</v>
      </c>
    </row>
    <row r="22" spans="1:16" ht="16.5" customHeight="1" x14ac:dyDescent="0.25">
      <c r="A22" t="s">
        <v>80</v>
      </c>
      <c r="B22" s="22" t="s">
        <v>1332</v>
      </c>
      <c r="C22" s="20">
        <v>1114647005</v>
      </c>
      <c r="D22" t="s">
        <v>81</v>
      </c>
      <c r="E22" s="25" t="s">
        <v>1248</v>
      </c>
      <c r="F22" t="s">
        <v>12</v>
      </c>
      <c r="G22" t="s">
        <v>22</v>
      </c>
      <c r="H22" s="7" t="s">
        <v>1056</v>
      </c>
      <c r="I22" s="7">
        <v>21</v>
      </c>
      <c r="J22" s="7">
        <v>24</v>
      </c>
      <c r="K22" s="10">
        <f>I22*2.5</f>
        <v>52.5</v>
      </c>
      <c r="L22" s="10">
        <f>J22*2.5</f>
        <v>60</v>
      </c>
      <c r="M22" t="s">
        <v>82</v>
      </c>
      <c r="N22" s="13">
        <v>218.95</v>
      </c>
      <c r="O22" t="s">
        <v>83</v>
      </c>
      <c r="P22" t="s">
        <v>84</v>
      </c>
    </row>
    <row r="23" spans="1:16" ht="16.5" customHeight="1" x14ac:dyDescent="0.25">
      <c r="A23" t="s">
        <v>776</v>
      </c>
      <c r="B23" s="22" t="s">
        <v>1320</v>
      </c>
      <c r="C23" s="20">
        <v>1114644445</v>
      </c>
      <c r="D23" t="s">
        <v>777</v>
      </c>
      <c r="E23" s="25" t="s">
        <v>1291</v>
      </c>
      <c r="F23" t="s">
        <v>12</v>
      </c>
      <c r="G23" t="s">
        <v>17</v>
      </c>
      <c r="H23" s="7" t="s">
        <v>1056</v>
      </c>
      <c r="I23" s="7">
        <v>23</v>
      </c>
      <c r="J23" s="7">
        <v>46</v>
      </c>
      <c r="K23" s="10">
        <f>I23*2.5</f>
        <v>57.5</v>
      </c>
      <c r="L23" s="10">
        <f>J23*2.5</f>
        <v>115</v>
      </c>
      <c r="M23" t="s">
        <v>778</v>
      </c>
      <c r="N23" s="13">
        <v>279.99</v>
      </c>
      <c r="O23" t="s">
        <v>779</v>
      </c>
      <c r="P23" t="s">
        <v>780</v>
      </c>
    </row>
    <row r="24" spans="1:16" ht="16.5" customHeight="1" x14ac:dyDescent="0.25">
      <c r="A24" t="s">
        <v>121</v>
      </c>
      <c r="B24" s="22" t="s">
        <v>1333</v>
      </c>
      <c r="C24" s="20">
        <v>1114646793</v>
      </c>
      <c r="D24" t="s">
        <v>122</v>
      </c>
      <c r="E24" s="25" t="s">
        <v>1298</v>
      </c>
      <c r="F24" t="s">
        <v>12</v>
      </c>
      <c r="G24" t="s">
        <v>13</v>
      </c>
      <c r="H24" s="7" t="s">
        <v>1056</v>
      </c>
      <c r="I24" s="7">
        <v>15</v>
      </c>
      <c r="J24" s="7">
        <v>15</v>
      </c>
      <c r="K24" s="10">
        <f>I24*2.5</f>
        <v>37.5</v>
      </c>
      <c r="L24" s="10">
        <f>J24*2.5</f>
        <v>37.5</v>
      </c>
      <c r="M24" t="s">
        <v>123</v>
      </c>
      <c r="N24" s="13">
        <v>304.95</v>
      </c>
      <c r="O24" t="s">
        <v>124</v>
      </c>
      <c r="P24" t="s">
        <v>125</v>
      </c>
    </row>
    <row r="25" spans="1:16" ht="16.5" customHeight="1" x14ac:dyDescent="0.25">
      <c r="A25" t="s">
        <v>85</v>
      </c>
      <c r="B25" s="22" t="s">
        <v>1332</v>
      </c>
      <c r="C25" s="20">
        <v>1114646973</v>
      </c>
      <c r="D25" t="s">
        <v>86</v>
      </c>
      <c r="E25" s="25" t="s">
        <v>1260</v>
      </c>
      <c r="F25" t="s">
        <v>12</v>
      </c>
      <c r="G25" t="s">
        <v>17</v>
      </c>
      <c r="H25" s="7" t="s">
        <v>1056</v>
      </c>
      <c r="I25" s="7">
        <v>31</v>
      </c>
      <c r="J25" s="7">
        <v>45</v>
      </c>
      <c r="K25" s="10">
        <f>I25*2.5</f>
        <v>77.5</v>
      </c>
      <c r="L25" s="10">
        <f>J25*2.5</f>
        <v>112.5</v>
      </c>
      <c r="M25" t="s">
        <v>87</v>
      </c>
      <c r="N25" s="13">
        <v>104.95</v>
      </c>
      <c r="O25" t="s">
        <v>88</v>
      </c>
      <c r="P25" t="s">
        <v>89</v>
      </c>
    </row>
    <row r="26" spans="1:16" ht="16.5" customHeight="1" x14ac:dyDescent="0.25">
      <c r="A26" t="s">
        <v>141</v>
      </c>
      <c r="B26" s="22" t="s">
        <v>1321</v>
      </c>
      <c r="C26" s="20">
        <v>1114646717</v>
      </c>
      <c r="D26" t="s">
        <v>142</v>
      </c>
      <c r="E26" s="25" t="s">
        <v>1218</v>
      </c>
      <c r="F26" t="s">
        <v>12</v>
      </c>
      <c r="G26" t="s">
        <v>41</v>
      </c>
      <c r="H26" s="7" t="s">
        <v>1059</v>
      </c>
      <c r="I26" s="7">
        <v>32</v>
      </c>
      <c r="J26" s="7">
        <v>30</v>
      </c>
      <c r="K26" s="10">
        <f>I26*2.5</f>
        <v>80</v>
      </c>
      <c r="L26" s="10">
        <f>J26*2.5</f>
        <v>75</v>
      </c>
      <c r="M26" t="s">
        <v>143</v>
      </c>
      <c r="N26" s="13">
        <v>74.95</v>
      </c>
      <c r="O26" t="s">
        <v>144</v>
      </c>
      <c r="P26" t="s">
        <v>145</v>
      </c>
    </row>
    <row r="27" spans="1:16" ht="16.5" customHeight="1" x14ac:dyDescent="0.25">
      <c r="A27" t="s">
        <v>716</v>
      </c>
      <c r="B27" s="22" t="s">
        <v>1323</v>
      </c>
      <c r="C27" s="20">
        <v>1114644661</v>
      </c>
      <c r="D27" t="s">
        <v>717</v>
      </c>
      <c r="E27" s="25" t="s">
        <v>1149</v>
      </c>
      <c r="F27" t="s">
        <v>12</v>
      </c>
      <c r="G27" t="s">
        <v>184</v>
      </c>
      <c r="H27" s="7" t="s">
        <v>1057</v>
      </c>
      <c r="I27" s="7">
        <v>25</v>
      </c>
      <c r="J27" s="7">
        <v>13</v>
      </c>
      <c r="K27" s="10">
        <f>I27*2.5</f>
        <v>62.5</v>
      </c>
      <c r="L27" s="10">
        <f>J27*2.5</f>
        <v>32.5</v>
      </c>
      <c r="M27" t="s">
        <v>718</v>
      </c>
      <c r="N27" s="13">
        <v>149.99</v>
      </c>
      <c r="O27" t="s">
        <v>719</v>
      </c>
      <c r="P27" t="s">
        <v>720</v>
      </c>
    </row>
    <row r="28" spans="1:16" ht="16.5" customHeight="1" x14ac:dyDescent="0.25">
      <c r="A28" t="s">
        <v>333</v>
      </c>
      <c r="B28" s="22" t="s">
        <v>1317</v>
      </c>
      <c r="C28" s="20">
        <v>1114646017</v>
      </c>
      <c r="D28" t="s">
        <v>334</v>
      </c>
      <c r="E28" s="25" t="s">
        <v>1163</v>
      </c>
      <c r="F28" t="s">
        <v>12</v>
      </c>
      <c r="G28" t="s">
        <v>46</v>
      </c>
      <c r="H28" s="7" t="s">
        <v>1058</v>
      </c>
      <c r="I28" s="7">
        <v>20</v>
      </c>
      <c r="J28" s="7">
        <v>27</v>
      </c>
      <c r="K28" s="10">
        <f>I28*2.5</f>
        <v>50</v>
      </c>
      <c r="L28" s="10">
        <f>J28*2.5</f>
        <v>67.5</v>
      </c>
      <c r="M28" t="s">
        <v>335</v>
      </c>
      <c r="N28" s="13">
        <v>89.99</v>
      </c>
      <c r="O28" t="s">
        <v>336</v>
      </c>
      <c r="P28" t="s">
        <v>337</v>
      </c>
    </row>
    <row r="29" spans="1:16" ht="16.5" customHeight="1" x14ac:dyDescent="0.25">
      <c r="A29" t="s">
        <v>338</v>
      </c>
      <c r="B29" s="22" t="s">
        <v>1320</v>
      </c>
      <c r="C29" s="20">
        <v>1114646005</v>
      </c>
      <c r="D29" t="s">
        <v>339</v>
      </c>
      <c r="E29" s="25" t="s">
        <v>1272</v>
      </c>
      <c r="F29" t="s">
        <v>12</v>
      </c>
      <c r="G29" t="s">
        <v>17</v>
      </c>
      <c r="H29" s="7" t="s">
        <v>1056</v>
      </c>
      <c r="I29" s="7">
        <v>26</v>
      </c>
      <c r="J29" s="7">
        <v>52</v>
      </c>
      <c r="K29" s="10">
        <f>I29*2.5</f>
        <v>65</v>
      </c>
      <c r="L29" s="10">
        <f>J29*2.5</f>
        <v>130</v>
      </c>
      <c r="M29" t="s">
        <v>340</v>
      </c>
      <c r="N29" s="13">
        <v>254.99</v>
      </c>
      <c r="O29" t="s">
        <v>341</v>
      </c>
      <c r="P29" t="s">
        <v>342</v>
      </c>
    </row>
    <row r="30" spans="1:16" ht="16.5" customHeight="1" x14ac:dyDescent="0.25">
      <c r="A30" t="s">
        <v>701</v>
      </c>
      <c r="B30" s="22" t="s">
        <v>1334</v>
      </c>
      <c r="C30" s="20">
        <v>1114644697</v>
      </c>
      <c r="D30" t="s">
        <v>702</v>
      </c>
      <c r="E30" s="25" t="s">
        <v>1142</v>
      </c>
      <c r="F30" t="s">
        <v>12</v>
      </c>
      <c r="G30" t="s">
        <v>102</v>
      </c>
      <c r="H30" s="7" t="s">
        <v>1056</v>
      </c>
      <c r="I30" s="7">
        <v>23</v>
      </c>
      <c r="J30" s="7">
        <v>38</v>
      </c>
      <c r="K30" s="10">
        <f>I30*2.5</f>
        <v>57.5</v>
      </c>
      <c r="L30" s="10">
        <f>J30*2.5</f>
        <v>95</v>
      </c>
      <c r="M30" t="s">
        <v>703</v>
      </c>
      <c r="N30" s="13">
        <v>202.95</v>
      </c>
      <c r="O30" t="s">
        <v>704</v>
      </c>
      <c r="P30" t="s">
        <v>705</v>
      </c>
    </row>
    <row r="31" spans="1:16" ht="16.5" customHeight="1" x14ac:dyDescent="0.25">
      <c r="A31" t="s">
        <v>983</v>
      </c>
      <c r="B31" s="22" t="s">
        <v>1324</v>
      </c>
      <c r="C31" s="20">
        <v>1114643429</v>
      </c>
      <c r="D31" t="s">
        <v>1080</v>
      </c>
      <c r="E31" s="25" t="s">
        <v>1212</v>
      </c>
      <c r="F31" t="s">
        <v>12</v>
      </c>
      <c r="G31" t="s">
        <v>205</v>
      </c>
      <c r="H31" s="7" t="s">
        <v>1063</v>
      </c>
      <c r="I31" s="7">
        <v>29</v>
      </c>
      <c r="J31" s="7">
        <v>32</v>
      </c>
      <c r="K31" s="10">
        <f>I31*2.5</f>
        <v>72.5</v>
      </c>
      <c r="L31" s="10">
        <f>J31*2.5</f>
        <v>80</v>
      </c>
      <c r="M31" t="s">
        <v>984</v>
      </c>
      <c r="N31" s="13">
        <v>79.95</v>
      </c>
      <c r="O31" t="s">
        <v>985</v>
      </c>
      <c r="P31" t="s">
        <v>986</v>
      </c>
    </row>
    <row r="32" spans="1:16" ht="16.5" customHeight="1" x14ac:dyDescent="0.25">
      <c r="A32" t="s">
        <v>450</v>
      </c>
      <c r="B32" s="22" t="s">
        <v>1332</v>
      </c>
      <c r="C32" s="20">
        <v>1114645461</v>
      </c>
      <c r="D32" t="s">
        <v>451</v>
      </c>
      <c r="E32" s="24" t="s">
        <v>1124</v>
      </c>
      <c r="F32" t="s">
        <v>12</v>
      </c>
      <c r="G32" t="s">
        <v>303</v>
      </c>
      <c r="H32" s="7" t="s">
        <v>1054</v>
      </c>
      <c r="I32" s="11">
        <v>9</v>
      </c>
      <c r="J32" s="11">
        <v>9</v>
      </c>
      <c r="K32" s="10">
        <f>I32*2.5</f>
        <v>22.5</v>
      </c>
      <c r="L32" s="10">
        <f>J32*2.5</f>
        <v>22.5</v>
      </c>
      <c r="M32" t="s">
        <v>452</v>
      </c>
      <c r="N32" s="13">
        <v>89.95</v>
      </c>
      <c r="O32" t="s">
        <v>453</v>
      </c>
      <c r="P32" t="s">
        <v>454</v>
      </c>
    </row>
    <row r="33" spans="1:16" ht="16.5" customHeight="1" x14ac:dyDescent="0.25">
      <c r="A33" t="s">
        <v>660</v>
      </c>
      <c r="B33" s="22" t="s">
        <v>1335</v>
      </c>
      <c r="C33" s="20">
        <v>1114644861</v>
      </c>
      <c r="D33" t="s">
        <v>661</v>
      </c>
      <c r="E33" s="24" t="s">
        <v>1109</v>
      </c>
      <c r="F33" t="s">
        <v>12</v>
      </c>
      <c r="G33" t="s">
        <v>324</v>
      </c>
      <c r="H33" s="7" t="s">
        <v>1054</v>
      </c>
      <c r="I33" s="7">
        <v>47</v>
      </c>
      <c r="J33" s="7">
        <v>24</v>
      </c>
      <c r="K33" s="10">
        <f>I33*2.5</f>
        <v>117.5</v>
      </c>
      <c r="L33" s="10">
        <f>J33*2.5</f>
        <v>60</v>
      </c>
      <c r="M33" t="s">
        <v>662</v>
      </c>
      <c r="N33" s="13">
        <v>304.95</v>
      </c>
      <c r="O33" t="s">
        <v>663</v>
      </c>
      <c r="P33" t="s">
        <v>664</v>
      </c>
    </row>
    <row r="34" spans="1:16" ht="16.5" customHeight="1" x14ac:dyDescent="0.25">
      <c r="A34" t="s">
        <v>445</v>
      </c>
      <c r="B34" s="22" t="s">
        <v>1320</v>
      </c>
      <c r="C34" s="20">
        <v>1114645489</v>
      </c>
      <c r="D34" t="s">
        <v>446</v>
      </c>
      <c r="E34" s="24" t="s">
        <v>1123</v>
      </c>
      <c r="F34" t="s">
        <v>12</v>
      </c>
      <c r="G34" t="s">
        <v>303</v>
      </c>
      <c r="H34" s="7" t="s">
        <v>1054</v>
      </c>
      <c r="I34" s="7">
        <v>40</v>
      </c>
      <c r="J34" s="7">
        <v>24</v>
      </c>
      <c r="K34" s="10">
        <f>I34*2.5</f>
        <v>100</v>
      </c>
      <c r="L34" s="10">
        <f>J34*2.5</f>
        <v>60</v>
      </c>
      <c r="M34" t="s">
        <v>447</v>
      </c>
      <c r="N34" s="13">
        <v>129.94999999999999</v>
      </c>
      <c r="O34" t="s">
        <v>448</v>
      </c>
      <c r="P34" t="s">
        <v>449</v>
      </c>
    </row>
    <row r="35" spans="1:16" ht="16.5" customHeight="1" x14ac:dyDescent="0.25">
      <c r="A35" t="s">
        <v>751</v>
      </c>
      <c r="B35" s="22" t="s">
        <v>1323</v>
      </c>
      <c r="C35" s="20">
        <v>1114644521</v>
      </c>
      <c r="D35" t="s">
        <v>752</v>
      </c>
      <c r="E35" s="25" t="s">
        <v>1143</v>
      </c>
      <c r="F35" t="s">
        <v>12</v>
      </c>
      <c r="G35" t="s">
        <v>102</v>
      </c>
      <c r="H35" s="7" t="s">
        <v>1056</v>
      </c>
      <c r="I35" s="7">
        <v>23</v>
      </c>
      <c r="J35" s="7">
        <v>36</v>
      </c>
      <c r="K35" s="10">
        <f>I35*2.5</f>
        <v>57.5</v>
      </c>
      <c r="L35" s="10">
        <f>J35*2.5</f>
        <v>90</v>
      </c>
      <c r="M35" t="s">
        <v>753</v>
      </c>
      <c r="N35" s="13">
        <v>229.95</v>
      </c>
      <c r="O35" t="s">
        <v>754</v>
      </c>
      <c r="P35" t="s">
        <v>755</v>
      </c>
    </row>
    <row r="36" spans="1:16" ht="16.5" customHeight="1" x14ac:dyDescent="0.25">
      <c r="A36" t="s">
        <v>605</v>
      </c>
      <c r="B36" s="22" t="s">
        <v>1321</v>
      </c>
      <c r="C36" s="20">
        <v>1114645013</v>
      </c>
      <c r="D36" t="s">
        <v>606</v>
      </c>
      <c r="E36" s="25" t="s">
        <v>1287</v>
      </c>
      <c r="F36" t="s">
        <v>12</v>
      </c>
      <c r="G36" t="s">
        <v>17</v>
      </c>
      <c r="H36" s="7" t="s">
        <v>1056</v>
      </c>
      <c r="I36" s="7">
        <v>32</v>
      </c>
      <c r="J36" s="7">
        <v>37</v>
      </c>
      <c r="K36" s="10">
        <f>I36*2.5</f>
        <v>80</v>
      </c>
      <c r="L36" s="10">
        <f>J36*2.5</f>
        <v>92.5</v>
      </c>
      <c r="M36" t="s">
        <v>607</v>
      </c>
      <c r="N36" s="13">
        <v>97.95</v>
      </c>
      <c r="O36" t="s">
        <v>608</v>
      </c>
      <c r="P36" t="s">
        <v>609</v>
      </c>
    </row>
    <row r="37" spans="1:16" ht="16.5" customHeight="1" x14ac:dyDescent="0.25">
      <c r="A37" t="s">
        <v>959</v>
      </c>
      <c r="B37" s="22" t="s">
        <v>1324</v>
      </c>
      <c r="C37" s="20">
        <v>1114643525</v>
      </c>
      <c r="D37" t="s">
        <v>960</v>
      </c>
      <c r="E37" s="25" t="s">
        <v>1207</v>
      </c>
      <c r="F37" t="s">
        <v>12</v>
      </c>
      <c r="G37" t="s">
        <v>205</v>
      </c>
      <c r="H37" s="7" t="s">
        <v>1063</v>
      </c>
      <c r="I37" s="7">
        <v>18</v>
      </c>
      <c r="J37" s="7">
        <v>18</v>
      </c>
      <c r="K37" s="10">
        <f>I37*2.5</f>
        <v>45</v>
      </c>
      <c r="L37" s="10">
        <f>J37*2.5</f>
        <v>45</v>
      </c>
      <c r="M37" t="s">
        <v>961</v>
      </c>
      <c r="N37" s="13">
        <v>59.95</v>
      </c>
      <c r="O37" t="s">
        <v>962</v>
      </c>
      <c r="P37" t="s">
        <v>963</v>
      </c>
    </row>
    <row r="38" spans="1:16" ht="16.5" customHeight="1" x14ac:dyDescent="0.25">
      <c r="A38" t="s">
        <v>440</v>
      </c>
      <c r="B38" s="22" t="s">
        <v>1332</v>
      </c>
      <c r="C38" s="20">
        <v>1114645525</v>
      </c>
      <c r="D38" t="s">
        <v>441</v>
      </c>
      <c r="E38" s="25" t="s">
        <v>1225</v>
      </c>
      <c r="F38" t="s">
        <v>12</v>
      </c>
      <c r="G38" t="s">
        <v>41</v>
      </c>
      <c r="H38" s="7" t="s">
        <v>1059</v>
      </c>
      <c r="I38" s="7">
        <v>36</v>
      </c>
      <c r="J38" s="7">
        <v>31</v>
      </c>
      <c r="K38" s="10">
        <f>I38*2.5</f>
        <v>90</v>
      </c>
      <c r="L38" s="10">
        <f>J38*2.5</f>
        <v>77.5</v>
      </c>
      <c r="M38" t="s">
        <v>442</v>
      </c>
      <c r="N38" s="13">
        <v>109.99</v>
      </c>
      <c r="O38" t="s">
        <v>443</v>
      </c>
      <c r="P38" t="s">
        <v>444</v>
      </c>
    </row>
    <row r="39" spans="1:16" ht="16.5" customHeight="1" x14ac:dyDescent="0.25">
      <c r="A39" t="s">
        <v>397</v>
      </c>
      <c r="B39" s="22" t="s">
        <v>1325</v>
      </c>
      <c r="C39" s="20">
        <v>1114645689</v>
      </c>
      <c r="D39" t="s">
        <v>398</v>
      </c>
      <c r="E39" s="24" t="s">
        <v>1101</v>
      </c>
      <c r="F39" t="s">
        <v>12</v>
      </c>
      <c r="G39" t="s">
        <v>324</v>
      </c>
      <c r="H39" s="7" t="s">
        <v>1054</v>
      </c>
      <c r="I39" s="7">
        <v>54</v>
      </c>
      <c r="J39" s="7">
        <v>23</v>
      </c>
      <c r="K39" s="10">
        <f>I39*2.5</f>
        <v>135</v>
      </c>
      <c r="L39" s="10">
        <f>J39*2.5</f>
        <v>57.5</v>
      </c>
      <c r="M39" t="s">
        <v>399</v>
      </c>
      <c r="N39" s="13">
        <v>229.95</v>
      </c>
      <c r="O39" t="s">
        <v>400</v>
      </c>
      <c r="P39" t="s">
        <v>401</v>
      </c>
    </row>
    <row r="40" spans="1:16" ht="16.5" customHeight="1" x14ac:dyDescent="0.25">
      <c r="A40" t="s">
        <v>891</v>
      </c>
      <c r="B40" s="22" t="s">
        <v>1330</v>
      </c>
      <c r="C40" s="20">
        <v>1114643873</v>
      </c>
      <c r="D40" t="s">
        <v>892</v>
      </c>
      <c r="E40" s="25" t="s">
        <v>1241</v>
      </c>
      <c r="F40" t="s">
        <v>12</v>
      </c>
      <c r="G40" t="s">
        <v>41</v>
      </c>
      <c r="H40" s="7" t="s">
        <v>1059</v>
      </c>
      <c r="I40" s="7">
        <v>26</v>
      </c>
      <c r="J40" s="7">
        <v>45</v>
      </c>
      <c r="K40" s="10">
        <f>I40*2.5</f>
        <v>65</v>
      </c>
      <c r="L40" s="10">
        <f>J40*2.5</f>
        <v>112.5</v>
      </c>
      <c r="M40" t="s">
        <v>893</v>
      </c>
      <c r="N40" s="13">
        <v>154.99</v>
      </c>
      <c r="O40" t="s">
        <v>894</v>
      </c>
      <c r="P40" t="s">
        <v>895</v>
      </c>
    </row>
    <row r="41" spans="1:16" ht="16.5" customHeight="1" x14ac:dyDescent="0.25">
      <c r="A41" t="s">
        <v>570</v>
      </c>
      <c r="B41" s="22" t="s">
        <v>1334</v>
      </c>
      <c r="C41" s="20">
        <v>1114645113</v>
      </c>
      <c r="D41" t="s">
        <v>571</v>
      </c>
      <c r="E41" s="25" t="s">
        <v>1281</v>
      </c>
      <c r="F41" t="s">
        <v>12</v>
      </c>
      <c r="G41" t="s">
        <v>17</v>
      </c>
      <c r="H41" s="7" t="s">
        <v>1056</v>
      </c>
      <c r="I41" s="7">
        <v>22</v>
      </c>
      <c r="J41" s="7">
        <v>50</v>
      </c>
      <c r="K41" s="10">
        <f>I41*2.5</f>
        <v>55</v>
      </c>
      <c r="L41" s="10">
        <f>J41*2.5</f>
        <v>125</v>
      </c>
      <c r="M41" t="s">
        <v>572</v>
      </c>
      <c r="N41" s="13">
        <v>197.95</v>
      </c>
      <c r="O41" t="s">
        <v>573</v>
      </c>
      <c r="P41" t="s">
        <v>574</v>
      </c>
    </row>
    <row r="42" spans="1:16" ht="16.5" customHeight="1" x14ac:dyDescent="0.25">
      <c r="A42" t="s">
        <v>182</v>
      </c>
      <c r="B42" s="22" t="s">
        <v>1332</v>
      </c>
      <c r="C42" s="20">
        <v>1114646593</v>
      </c>
      <c r="D42" t="s">
        <v>183</v>
      </c>
      <c r="E42" s="25" t="s">
        <v>1147</v>
      </c>
      <c r="F42" t="s">
        <v>12</v>
      </c>
      <c r="G42" t="s">
        <v>184</v>
      </c>
      <c r="H42" s="7" t="s">
        <v>1057</v>
      </c>
      <c r="I42" s="7">
        <v>31</v>
      </c>
      <c r="J42" s="7">
        <v>26</v>
      </c>
      <c r="K42" s="10">
        <f>I42*2.5</f>
        <v>77.5</v>
      </c>
      <c r="L42" s="10">
        <f>J42*2.5</f>
        <v>65</v>
      </c>
      <c r="M42" t="s">
        <v>185</v>
      </c>
      <c r="N42" s="13">
        <v>118.95</v>
      </c>
      <c r="O42" t="s">
        <v>186</v>
      </c>
      <c r="P42" t="s">
        <v>187</v>
      </c>
    </row>
    <row r="43" spans="1:16" ht="16.5" customHeight="1" x14ac:dyDescent="0.25">
      <c r="A43" t="s">
        <v>490</v>
      </c>
      <c r="B43" s="22" t="s">
        <v>1320</v>
      </c>
      <c r="C43" s="20">
        <v>1114645321</v>
      </c>
      <c r="D43" t="s">
        <v>491</v>
      </c>
      <c r="E43" s="25" t="s">
        <v>1171</v>
      </c>
      <c r="F43" t="s">
        <v>12</v>
      </c>
      <c r="G43" t="s">
        <v>46</v>
      </c>
      <c r="H43" s="7" t="s">
        <v>1058</v>
      </c>
      <c r="I43" s="7">
        <v>20</v>
      </c>
      <c r="J43" s="7">
        <v>24</v>
      </c>
      <c r="K43" s="10">
        <f>I43*2.5</f>
        <v>50</v>
      </c>
      <c r="L43" s="10">
        <f>J43*2.5</f>
        <v>60</v>
      </c>
      <c r="M43" t="s">
        <v>492</v>
      </c>
      <c r="N43" s="13">
        <v>164.99</v>
      </c>
      <c r="O43" t="s">
        <v>493</v>
      </c>
      <c r="P43" t="s">
        <v>494</v>
      </c>
    </row>
    <row r="44" spans="1:16" ht="16.5" customHeight="1" x14ac:dyDescent="0.25">
      <c r="A44" t="s">
        <v>65</v>
      </c>
      <c r="B44" s="22" t="s">
        <v>1320</v>
      </c>
      <c r="C44" s="20">
        <v>1114647041</v>
      </c>
      <c r="D44" t="s">
        <v>66</v>
      </c>
      <c r="E44" s="25" t="s">
        <v>1247</v>
      </c>
      <c r="F44" t="s">
        <v>12</v>
      </c>
      <c r="G44" t="s">
        <v>22</v>
      </c>
      <c r="H44" s="7" t="s">
        <v>1056</v>
      </c>
      <c r="I44" s="7">
        <v>21</v>
      </c>
      <c r="J44" s="7">
        <v>28</v>
      </c>
      <c r="K44" s="10">
        <f>I44*2.5</f>
        <v>52.5</v>
      </c>
      <c r="L44" s="10">
        <f>J44*2.5</f>
        <v>70</v>
      </c>
      <c r="M44" t="s">
        <v>67</v>
      </c>
      <c r="N44" s="13">
        <v>204.95</v>
      </c>
      <c r="O44" t="s">
        <v>68</v>
      </c>
      <c r="P44" t="s">
        <v>69</v>
      </c>
    </row>
    <row r="45" spans="1:16" ht="16.5" customHeight="1" x14ac:dyDescent="0.25">
      <c r="A45" t="s">
        <v>20</v>
      </c>
      <c r="B45" s="22" t="s">
        <v>1336</v>
      </c>
      <c r="C45" s="20">
        <v>1141182577</v>
      </c>
      <c r="D45" s="1" t="s">
        <v>21</v>
      </c>
      <c r="E45" s="26" t="s">
        <v>1244</v>
      </c>
      <c r="F45" t="s">
        <v>12</v>
      </c>
      <c r="G45" t="s">
        <v>22</v>
      </c>
      <c r="H45" s="7" t="s">
        <v>1056</v>
      </c>
      <c r="I45" s="7">
        <v>19</v>
      </c>
      <c r="J45" s="7">
        <v>22</v>
      </c>
      <c r="K45" s="10">
        <f>I45*2.5</f>
        <v>47.5</v>
      </c>
      <c r="L45" s="10">
        <f>J45*2.5</f>
        <v>55</v>
      </c>
      <c r="M45" t="s">
        <v>23</v>
      </c>
      <c r="N45" s="13">
        <v>103.95</v>
      </c>
      <c r="O45" t="s">
        <v>24</v>
      </c>
      <c r="P45" s="2" t="str">
        <f>"(display image: "&amp;A45&amp;")"</f>
        <v>(display image: Friendship Rose Heart)</v>
      </c>
    </row>
    <row r="46" spans="1:16" ht="16.5" customHeight="1" x14ac:dyDescent="0.25">
      <c r="A46" t="s">
        <v>495</v>
      </c>
      <c r="B46" s="22" t="s">
        <v>1320</v>
      </c>
      <c r="C46" s="20">
        <v>1114645301</v>
      </c>
      <c r="D46" t="s">
        <v>496</v>
      </c>
      <c r="E46" s="25" t="s">
        <v>1172</v>
      </c>
      <c r="F46" t="s">
        <v>12</v>
      </c>
      <c r="G46" t="s">
        <v>46</v>
      </c>
      <c r="H46" s="7" t="s">
        <v>1058</v>
      </c>
      <c r="I46" s="7">
        <v>16</v>
      </c>
      <c r="J46" s="7">
        <v>17</v>
      </c>
      <c r="K46" s="10">
        <f>I46*2.5</f>
        <v>40</v>
      </c>
      <c r="L46" s="10">
        <f>J46*2.5</f>
        <v>42.5</v>
      </c>
      <c r="M46" t="s">
        <v>497</v>
      </c>
      <c r="N46" s="13">
        <v>129.99</v>
      </c>
      <c r="O46" t="s">
        <v>498</v>
      </c>
      <c r="P46" t="s">
        <v>499</v>
      </c>
    </row>
    <row r="47" spans="1:16" ht="16.5" customHeight="1" x14ac:dyDescent="0.25">
      <c r="A47" t="s">
        <v>1015</v>
      </c>
      <c r="B47" s="22" t="s">
        <v>1322</v>
      </c>
      <c r="C47" s="20">
        <v>1114643297</v>
      </c>
      <c r="D47" t="s">
        <v>1016</v>
      </c>
      <c r="E47" s="25" t="s">
        <v>1243</v>
      </c>
      <c r="F47" t="s">
        <v>12</v>
      </c>
      <c r="G47" t="s">
        <v>41</v>
      </c>
      <c r="H47" s="7" t="s">
        <v>1059</v>
      </c>
      <c r="I47" s="8">
        <v>25</v>
      </c>
      <c r="J47" s="8">
        <v>28</v>
      </c>
      <c r="K47" s="10">
        <f>I47*2.5</f>
        <v>62.5</v>
      </c>
      <c r="L47" s="10">
        <f>J47*2.5</f>
        <v>70</v>
      </c>
      <c r="M47" t="s">
        <v>1017</v>
      </c>
      <c r="N47" s="13">
        <v>230</v>
      </c>
      <c r="O47" t="s">
        <v>1018</v>
      </c>
      <c r="P47" t="s">
        <v>1019</v>
      </c>
    </row>
    <row r="48" spans="1:16" ht="16.5" customHeight="1" x14ac:dyDescent="0.25">
      <c r="A48" t="s">
        <v>1044</v>
      </c>
      <c r="B48" s="22" t="s">
        <v>1337</v>
      </c>
      <c r="C48" s="20">
        <v>1114643113</v>
      </c>
      <c r="D48" t="s">
        <v>1045</v>
      </c>
      <c r="E48" s="25" t="s">
        <v>1154</v>
      </c>
      <c r="F48" t="s">
        <v>12</v>
      </c>
      <c r="G48" t="s">
        <v>184</v>
      </c>
      <c r="H48" s="7" t="s">
        <v>1057</v>
      </c>
      <c r="I48" s="8">
        <v>25</v>
      </c>
      <c r="J48" s="8">
        <v>25</v>
      </c>
      <c r="K48" s="10">
        <f>I48*2.5</f>
        <v>62.5</v>
      </c>
      <c r="L48" s="10">
        <f>J48*2.5</f>
        <v>62.5</v>
      </c>
      <c r="M48" t="s">
        <v>1046</v>
      </c>
      <c r="N48" s="13">
        <v>130</v>
      </c>
      <c r="O48" t="s">
        <v>1047</v>
      </c>
      <c r="P48" t="s">
        <v>1048</v>
      </c>
    </row>
    <row r="49" spans="1:16" ht="16.5" customHeight="1" x14ac:dyDescent="0.25">
      <c r="A49" t="s">
        <v>343</v>
      </c>
      <c r="B49" s="22" t="s">
        <v>1324</v>
      </c>
      <c r="C49" s="20">
        <v>1114646001</v>
      </c>
      <c r="D49" t="s">
        <v>344</v>
      </c>
      <c r="E49" s="24" t="s">
        <v>1139</v>
      </c>
      <c r="F49" t="s">
        <v>12</v>
      </c>
      <c r="G49" t="s">
        <v>102</v>
      </c>
      <c r="H49" s="7" t="s">
        <v>1056</v>
      </c>
      <c r="I49" s="7">
        <v>22</v>
      </c>
      <c r="J49" s="7">
        <v>35</v>
      </c>
      <c r="K49" s="10">
        <f>I49*2.5</f>
        <v>55</v>
      </c>
      <c r="L49" s="10">
        <f>J49*2.5</f>
        <v>87.5</v>
      </c>
      <c r="M49" t="s">
        <v>345</v>
      </c>
      <c r="N49" s="13">
        <v>184.95</v>
      </c>
      <c r="O49" t="s">
        <v>346</v>
      </c>
      <c r="P49" t="s">
        <v>347</v>
      </c>
    </row>
    <row r="50" spans="1:16" ht="16.5" customHeight="1" x14ac:dyDescent="0.25">
      <c r="A50" t="s">
        <v>806</v>
      </c>
      <c r="B50" s="22" t="s">
        <v>1332</v>
      </c>
      <c r="C50" s="20">
        <v>1114644297</v>
      </c>
      <c r="D50" t="s">
        <v>807</v>
      </c>
      <c r="E50" s="24" t="s">
        <v>1115</v>
      </c>
      <c r="F50" t="s">
        <v>12</v>
      </c>
      <c r="G50" t="s">
        <v>324</v>
      </c>
      <c r="H50" s="7" t="s">
        <v>1054</v>
      </c>
      <c r="I50" s="7">
        <v>75</v>
      </c>
      <c r="J50" s="7">
        <v>25</v>
      </c>
      <c r="K50" s="10">
        <f>I50*2.5</f>
        <v>187.5</v>
      </c>
      <c r="L50" s="10">
        <f>J50*2.5</f>
        <v>62.5</v>
      </c>
      <c r="M50" t="s">
        <v>808</v>
      </c>
      <c r="N50" s="13">
        <v>404.95</v>
      </c>
      <c r="O50" t="s">
        <v>809</v>
      </c>
      <c r="P50" t="s">
        <v>810</v>
      </c>
    </row>
    <row r="51" spans="1:16" ht="16.5" customHeight="1" x14ac:dyDescent="0.25">
      <c r="A51" t="s">
        <v>358</v>
      </c>
      <c r="B51" s="22" t="s">
        <v>1338</v>
      </c>
      <c r="C51" s="20">
        <v>1114645921</v>
      </c>
      <c r="D51" t="s">
        <v>359</v>
      </c>
      <c r="E51" s="24" t="s">
        <v>1099</v>
      </c>
      <c r="F51" t="s">
        <v>12</v>
      </c>
      <c r="G51" t="s">
        <v>324</v>
      </c>
      <c r="H51" s="7" t="s">
        <v>1054</v>
      </c>
      <c r="I51" s="7">
        <v>42</v>
      </c>
      <c r="J51" s="7">
        <v>20</v>
      </c>
      <c r="K51" s="10">
        <f>I51*2.5</f>
        <v>105</v>
      </c>
      <c r="L51" s="10">
        <f>J51*2.5</f>
        <v>50</v>
      </c>
      <c r="M51" t="s">
        <v>360</v>
      </c>
      <c r="N51" s="13">
        <v>354.95</v>
      </c>
      <c r="O51" t="s">
        <v>361</v>
      </c>
      <c r="P51" s="2" t="str">
        <f>"(display image: "&amp;A51&amp;")"</f>
        <v>(display image: Garden of Sweet Memories Spray)</v>
      </c>
    </row>
    <row r="52" spans="1:16" ht="16.5" customHeight="1" x14ac:dyDescent="0.25">
      <c r="A52" t="s">
        <v>248</v>
      </c>
      <c r="B52" s="22" t="s">
        <v>1339</v>
      </c>
      <c r="C52" s="20">
        <v>1114646309</v>
      </c>
      <c r="D52" t="s">
        <v>1074</v>
      </c>
      <c r="E52" s="25" t="s">
        <v>1196</v>
      </c>
      <c r="F52" t="s">
        <v>12</v>
      </c>
      <c r="G52" t="s">
        <v>205</v>
      </c>
      <c r="H52" s="7" t="s">
        <v>1063</v>
      </c>
      <c r="I52" s="7">
        <v>14</v>
      </c>
      <c r="J52" s="7">
        <v>13</v>
      </c>
      <c r="K52" s="10">
        <f>I52*2.5</f>
        <v>35</v>
      </c>
      <c r="L52" s="10">
        <f>J52*2.5</f>
        <v>32.5</v>
      </c>
      <c r="M52" t="s">
        <v>249</v>
      </c>
      <c r="N52" s="13">
        <v>67.95</v>
      </c>
      <c r="O52" t="s">
        <v>250</v>
      </c>
      <c r="P52" t="s">
        <v>251</v>
      </c>
    </row>
    <row r="53" spans="1:16" ht="16.5" customHeight="1" x14ac:dyDescent="0.25">
      <c r="A53" t="s">
        <v>505</v>
      </c>
      <c r="B53" s="22" t="s">
        <v>1322</v>
      </c>
      <c r="C53" s="20">
        <v>1114645277</v>
      </c>
      <c r="D53" t="s">
        <v>506</v>
      </c>
      <c r="E53" s="24" t="s">
        <v>1130</v>
      </c>
      <c r="F53" t="s">
        <v>12</v>
      </c>
      <c r="G53" t="s">
        <v>286</v>
      </c>
      <c r="H53" s="7" t="s">
        <v>1055</v>
      </c>
      <c r="I53" s="7">
        <v>20</v>
      </c>
      <c r="J53" s="7">
        <v>14</v>
      </c>
      <c r="K53" s="10">
        <f>I53*2.5</f>
        <v>50</v>
      </c>
      <c r="L53" s="10">
        <f>J53*2.5</f>
        <v>35</v>
      </c>
      <c r="M53" t="s">
        <v>507</v>
      </c>
      <c r="N53" s="13">
        <v>137.94999999999999</v>
      </c>
      <c r="O53" t="s">
        <v>508</v>
      </c>
      <c r="P53" t="s">
        <v>509</v>
      </c>
    </row>
    <row r="54" spans="1:16" ht="16.5" customHeight="1" x14ac:dyDescent="0.25">
      <c r="A54" t="s">
        <v>151</v>
      </c>
      <c r="B54" s="22" t="s">
        <v>1334</v>
      </c>
      <c r="C54" s="20">
        <v>1114646681</v>
      </c>
      <c r="D54" t="s">
        <v>152</v>
      </c>
      <c r="E54" s="25" t="s">
        <v>1155</v>
      </c>
      <c r="F54" t="s">
        <v>12</v>
      </c>
      <c r="G54" t="s">
        <v>153</v>
      </c>
      <c r="H54" s="7" t="s">
        <v>1057</v>
      </c>
      <c r="I54" s="7">
        <v>22</v>
      </c>
      <c r="J54" s="7">
        <v>26</v>
      </c>
      <c r="K54" s="10">
        <f>I54*2.5</f>
        <v>55</v>
      </c>
      <c r="L54" s="10">
        <f>J54*2.5</f>
        <v>65</v>
      </c>
      <c r="M54" t="s">
        <v>154</v>
      </c>
      <c r="N54" s="13">
        <v>74.95</v>
      </c>
      <c r="O54" t="s">
        <v>155</v>
      </c>
      <c r="P54" t="s">
        <v>156</v>
      </c>
    </row>
    <row r="55" spans="1:16" ht="16.5" customHeight="1" x14ac:dyDescent="0.25">
      <c r="A55" t="s">
        <v>15</v>
      </c>
      <c r="B55" s="22" t="s">
        <v>1323</v>
      </c>
      <c r="C55" s="20">
        <v>1141186973</v>
      </c>
      <c r="D55" s="1" t="s">
        <v>16</v>
      </c>
      <c r="E55" s="26" t="s">
        <v>1256</v>
      </c>
      <c r="F55" t="s">
        <v>12</v>
      </c>
      <c r="G55" t="s">
        <v>17</v>
      </c>
      <c r="H55" s="7" t="s">
        <v>1056</v>
      </c>
      <c r="I55" s="7">
        <v>24</v>
      </c>
      <c r="J55" s="7">
        <v>42</v>
      </c>
      <c r="K55" s="10">
        <f>I55*2.5</f>
        <v>60</v>
      </c>
      <c r="L55" s="10">
        <f>J55*2.5</f>
        <v>105</v>
      </c>
      <c r="M55" t="s">
        <v>18</v>
      </c>
      <c r="N55" s="13">
        <v>104.95</v>
      </c>
      <c r="O55" t="s">
        <v>19</v>
      </c>
      <c r="P55" s="2" t="str">
        <f>"(display image: "&amp;A55&amp;")"</f>
        <v>(display image: Gentle Thoughts Spray)</v>
      </c>
    </row>
    <row r="56" spans="1:16" ht="16.5" customHeight="1" x14ac:dyDescent="0.25">
      <c r="A56" t="s">
        <v>595</v>
      </c>
      <c r="B56" s="22" t="s">
        <v>1340</v>
      </c>
      <c r="C56" s="20">
        <v>1114645049</v>
      </c>
      <c r="D56" t="s">
        <v>596</v>
      </c>
      <c r="E56" s="25" t="s">
        <v>1285</v>
      </c>
      <c r="F56" t="s">
        <v>12</v>
      </c>
      <c r="G56" t="s">
        <v>17</v>
      </c>
      <c r="H56" s="7" t="s">
        <v>1056</v>
      </c>
      <c r="I56" s="7">
        <v>26</v>
      </c>
      <c r="J56" s="7">
        <v>46</v>
      </c>
      <c r="K56" s="10">
        <f>I56*2.5</f>
        <v>65</v>
      </c>
      <c r="L56" s="10">
        <f>J56*2.5</f>
        <v>115</v>
      </c>
      <c r="M56" t="s">
        <v>597</v>
      </c>
      <c r="N56" s="13">
        <v>189.99</v>
      </c>
      <c r="O56" t="s">
        <v>598</v>
      </c>
      <c r="P56" t="s">
        <v>599</v>
      </c>
    </row>
    <row r="57" spans="1:16" ht="16.5" customHeight="1" x14ac:dyDescent="0.25">
      <c r="A57" t="s">
        <v>367</v>
      </c>
      <c r="B57" s="22" t="s">
        <v>1330</v>
      </c>
      <c r="C57" s="20">
        <v>1114645905</v>
      </c>
      <c r="D57" t="s">
        <v>368</v>
      </c>
      <c r="E57" s="25" t="s">
        <v>1222</v>
      </c>
      <c r="F57" t="s">
        <v>12</v>
      </c>
      <c r="G57" t="s">
        <v>41</v>
      </c>
      <c r="H57" s="7" t="s">
        <v>1059</v>
      </c>
      <c r="I57" s="7">
        <v>25</v>
      </c>
      <c r="J57" s="7">
        <v>31</v>
      </c>
      <c r="K57" s="10">
        <f>I57*2.5</f>
        <v>62.5</v>
      </c>
      <c r="L57" s="10">
        <f>J57*2.5</f>
        <v>77.5</v>
      </c>
      <c r="M57" t="s">
        <v>369</v>
      </c>
      <c r="N57" s="13">
        <v>139.99</v>
      </c>
      <c r="O57" t="s">
        <v>370</v>
      </c>
      <c r="P57" t="s">
        <v>371</v>
      </c>
    </row>
    <row r="58" spans="1:16" ht="16.5" customHeight="1" x14ac:dyDescent="0.25">
      <c r="A58" t="s">
        <v>480</v>
      </c>
      <c r="B58" s="22" t="s">
        <v>1323</v>
      </c>
      <c r="C58" s="20">
        <v>1114645369</v>
      </c>
      <c r="D58" t="s">
        <v>481</v>
      </c>
      <c r="E58" s="24" t="s">
        <v>1129</v>
      </c>
      <c r="F58" t="s">
        <v>12</v>
      </c>
      <c r="G58" t="s">
        <v>286</v>
      </c>
      <c r="H58" s="7" t="s">
        <v>1055</v>
      </c>
      <c r="I58" s="7">
        <v>22</v>
      </c>
      <c r="J58" s="7">
        <v>17</v>
      </c>
      <c r="K58" s="10">
        <f>I58*2.5</f>
        <v>55</v>
      </c>
      <c r="L58" s="10">
        <f>J58*2.5</f>
        <v>42.5</v>
      </c>
      <c r="M58" t="s">
        <v>482</v>
      </c>
      <c r="N58" s="13">
        <v>304.99</v>
      </c>
      <c r="O58" t="s">
        <v>483</v>
      </c>
      <c r="P58" t="s">
        <v>484</v>
      </c>
    </row>
    <row r="59" spans="1:16" ht="16.5" customHeight="1" x14ac:dyDescent="0.25">
      <c r="A59" t="s">
        <v>362</v>
      </c>
      <c r="B59" s="22" t="s">
        <v>1341</v>
      </c>
      <c r="C59" s="20">
        <v>1114645909</v>
      </c>
      <c r="D59" t="s">
        <v>363</v>
      </c>
      <c r="E59" s="24" t="s">
        <v>1120</v>
      </c>
      <c r="F59" t="s">
        <v>12</v>
      </c>
      <c r="G59" t="s">
        <v>303</v>
      </c>
      <c r="H59" s="7" t="s">
        <v>1054</v>
      </c>
      <c r="I59" s="7">
        <v>32</v>
      </c>
      <c r="J59" s="7">
        <v>8</v>
      </c>
      <c r="K59" s="10">
        <f>I59*2.5</f>
        <v>80</v>
      </c>
      <c r="L59" s="10">
        <f>J59*2.5</f>
        <v>20</v>
      </c>
      <c r="M59" t="s">
        <v>364</v>
      </c>
      <c r="N59" s="13">
        <v>79.95</v>
      </c>
      <c r="O59" t="s">
        <v>365</v>
      </c>
      <c r="P59" t="s">
        <v>366</v>
      </c>
    </row>
    <row r="60" spans="1:16" ht="16.5" customHeight="1" x14ac:dyDescent="0.25">
      <c r="A60" t="s">
        <v>630</v>
      </c>
      <c r="B60" s="22" t="s">
        <v>1331</v>
      </c>
      <c r="C60" s="20">
        <v>1114644929</v>
      </c>
      <c r="D60" t="s">
        <v>631</v>
      </c>
      <c r="E60" s="24" t="s">
        <v>1104</v>
      </c>
      <c r="F60" t="s">
        <v>12</v>
      </c>
      <c r="G60" t="s">
        <v>324</v>
      </c>
      <c r="H60" s="7" t="s">
        <v>1054</v>
      </c>
      <c r="I60" s="7">
        <v>64</v>
      </c>
      <c r="J60" s="7">
        <v>16</v>
      </c>
      <c r="K60" s="10">
        <f>I60*2.5</f>
        <v>160</v>
      </c>
      <c r="L60" s="10">
        <f>J60*2.5</f>
        <v>40</v>
      </c>
      <c r="M60" t="s">
        <v>632</v>
      </c>
      <c r="N60" s="13">
        <v>455</v>
      </c>
      <c r="O60" t="s">
        <v>633</v>
      </c>
      <c r="P60" t="s">
        <v>634</v>
      </c>
    </row>
    <row r="61" spans="1:16" ht="16.5" customHeight="1" x14ac:dyDescent="0.25">
      <c r="A61" t="s">
        <v>650</v>
      </c>
      <c r="B61" s="22" t="s">
        <v>1331</v>
      </c>
      <c r="C61" s="20">
        <v>1114644877</v>
      </c>
      <c r="D61" t="s">
        <v>651</v>
      </c>
      <c r="E61" s="24" t="s">
        <v>1108</v>
      </c>
      <c r="F61" t="s">
        <v>12</v>
      </c>
      <c r="G61" t="s">
        <v>324</v>
      </c>
      <c r="H61" s="7" t="s">
        <v>1054</v>
      </c>
      <c r="I61" s="7">
        <v>44</v>
      </c>
      <c r="J61" s="7">
        <v>22</v>
      </c>
      <c r="K61" s="10">
        <f>I61*2.5</f>
        <v>110</v>
      </c>
      <c r="L61" s="10">
        <f>J61*2.5</f>
        <v>55</v>
      </c>
      <c r="M61" t="s">
        <v>652</v>
      </c>
      <c r="N61" s="13">
        <v>204.95</v>
      </c>
      <c r="O61" t="s">
        <v>653</v>
      </c>
      <c r="P61" t="s">
        <v>654</v>
      </c>
    </row>
    <row r="62" spans="1:16" ht="16.5" customHeight="1" x14ac:dyDescent="0.25">
      <c r="A62" t="s">
        <v>126</v>
      </c>
      <c r="B62" s="22" t="s">
        <v>1334</v>
      </c>
      <c r="C62" s="20">
        <v>1114646781</v>
      </c>
      <c r="D62" t="s">
        <v>127</v>
      </c>
      <c r="E62" s="25" t="s">
        <v>1249</v>
      </c>
      <c r="F62" t="s">
        <v>12</v>
      </c>
      <c r="G62" t="s">
        <v>22</v>
      </c>
      <c r="H62" s="7" t="s">
        <v>1056</v>
      </c>
      <c r="I62" s="7">
        <v>20</v>
      </c>
      <c r="J62" s="7">
        <v>20</v>
      </c>
      <c r="K62" s="10">
        <f>I62*2.5</f>
        <v>50</v>
      </c>
      <c r="L62" s="10">
        <f>J62*2.5</f>
        <v>50</v>
      </c>
      <c r="M62" t="s">
        <v>128</v>
      </c>
      <c r="N62" s="13">
        <v>209.95</v>
      </c>
      <c r="O62" t="s">
        <v>129</v>
      </c>
      <c r="P62" t="s">
        <v>130</v>
      </c>
    </row>
    <row r="63" spans="1:16" ht="16.5" customHeight="1" x14ac:dyDescent="0.25">
      <c r="A63" t="s">
        <v>690</v>
      </c>
      <c r="B63" s="22" t="s">
        <v>1342</v>
      </c>
      <c r="C63" s="20">
        <v>1114644749</v>
      </c>
      <c r="D63" t="s">
        <v>691</v>
      </c>
      <c r="E63" s="25" t="s">
        <v>1294</v>
      </c>
      <c r="F63" t="s">
        <v>12</v>
      </c>
      <c r="G63" t="s">
        <v>692</v>
      </c>
      <c r="H63" s="7" t="s">
        <v>1056</v>
      </c>
      <c r="I63" s="7">
        <v>23</v>
      </c>
      <c r="J63" s="7">
        <v>23</v>
      </c>
      <c r="K63" s="10">
        <f>I63*2.5</f>
        <v>57.5</v>
      </c>
      <c r="L63" s="10">
        <f>J63*2.5</f>
        <v>57.5</v>
      </c>
      <c r="M63" t="s">
        <v>693</v>
      </c>
      <c r="N63" s="13">
        <v>279.99</v>
      </c>
      <c r="O63" t="s">
        <v>694</v>
      </c>
      <c r="P63" t="s">
        <v>695</v>
      </c>
    </row>
    <row r="64" spans="1:16" ht="16.5" customHeight="1" x14ac:dyDescent="0.25">
      <c r="A64" t="s">
        <v>731</v>
      </c>
      <c r="B64" s="22" t="s">
        <v>1334</v>
      </c>
      <c r="C64" s="20">
        <v>1114644613</v>
      </c>
      <c r="D64" t="s">
        <v>732</v>
      </c>
      <c r="E64" s="25" t="s">
        <v>1186</v>
      </c>
      <c r="F64" t="s">
        <v>12</v>
      </c>
      <c r="G64" t="s">
        <v>267</v>
      </c>
      <c r="H64" s="7" t="s">
        <v>1059</v>
      </c>
      <c r="I64" s="7">
        <v>25</v>
      </c>
      <c r="J64" s="7">
        <v>28</v>
      </c>
      <c r="K64" s="10">
        <f>I64*2.5</f>
        <v>62.5</v>
      </c>
      <c r="L64" s="10">
        <f>J64*2.5</f>
        <v>70</v>
      </c>
      <c r="M64" t="s">
        <v>733</v>
      </c>
      <c r="N64" s="13">
        <v>119.95</v>
      </c>
      <c r="O64" t="s">
        <v>734</v>
      </c>
      <c r="P64" t="s">
        <v>735</v>
      </c>
    </row>
    <row r="65" spans="1:16" ht="16.5" customHeight="1" x14ac:dyDescent="0.25">
      <c r="A65" t="s">
        <v>841</v>
      </c>
      <c r="B65" s="22" t="s">
        <v>1320</v>
      </c>
      <c r="C65" s="20">
        <v>1114644173</v>
      </c>
      <c r="D65" t="s">
        <v>842</v>
      </c>
      <c r="E65" s="24" t="s">
        <v>1117</v>
      </c>
      <c r="F65" t="s">
        <v>12</v>
      </c>
      <c r="G65" t="s">
        <v>324</v>
      </c>
      <c r="H65" s="7" t="s">
        <v>1054</v>
      </c>
      <c r="I65" s="7">
        <v>62</v>
      </c>
      <c r="J65" s="7">
        <v>22</v>
      </c>
      <c r="K65" s="10">
        <f>I65*2.5</f>
        <v>155</v>
      </c>
      <c r="L65" s="10">
        <f>J65*2.5</f>
        <v>55</v>
      </c>
      <c r="M65" t="s">
        <v>843</v>
      </c>
      <c r="N65" s="13">
        <v>504.95</v>
      </c>
      <c r="O65" t="s">
        <v>844</v>
      </c>
      <c r="P65" t="s">
        <v>845</v>
      </c>
    </row>
    <row r="66" spans="1:16" ht="16.5" customHeight="1" x14ac:dyDescent="0.25">
      <c r="A66" t="s">
        <v>1025</v>
      </c>
      <c r="B66" s="22" t="s">
        <v>1322</v>
      </c>
      <c r="C66" s="20">
        <v>1114643261</v>
      </c>
      <c r="D66" t="s">
        <v>1026</v>
      </c>
      <c r="E66" s="25" t="s">
        <v>1307</v>
      </c>
      <c r="F66" t="s">
        <v>12</v>
      </c>
      <c r="G66" t="s">
        <v>13</v>
      </c>
      <c r="H66" s="7" t="s">
        <v>1056</v>
      </c>
      <c r="I66" s="8">
        <v>27</v>
      </c>
      <c r="J66" s="8">
        <v>27</v>
      </c>
      <c r="K66" s="10">
        <f>I66*2.5</f>
        <v>67.5</v>
      </c>
      <c r="L66" s="10">
        <f>J66*2.5</f>
        <v>67.5</v>
      </c>
      <c r="M66" t="s">
        <v>1027</v>
      </c>
      <c r="N66" s="13">
        <v>280</v>
      </c>
      <c r="O66" t="s">
        <v>1028</v>
      </c>
      <c r="P66" t="s">
        <v>1029</v>
      </c>
    </row>
    <row r="67" spans="1:16" ht="16.5" customHeight="1" x14ac:dyDescent="0.25">
      <c r="A67" t="s">
        <v>1030</v>
      </c>
      <c r="B67" s="22" t="s">
        <v>1332</v>
      </c>
      <c r="C67" s="20">
        <v>1114643245</v>
      </c>
      <c r="D67" t="s">
        <v>1031</v>
      </c>
      <c r="E67" s="25" t="s">
        <v>1144</v>
      </c>
      <c r="F67" t="s">
        <v>12</v>
      </c>
      <c r="G67" t="s">
        <v>102</v>
      </c>
      <c r="H67" s="7" t="s">
        <v>1056</v>
      </c>
      <c r="I67" s="8">
        <v>28</v>
      </c>
      <c r="J67" s="8">
        <v>37</v>
      </c>
      <c r="K67" s="10">
        <f>I67*2.5</f>
        <v>70</v>
      </c>
      <c r="L67" s="10">
        <f>J67*2.5</f>
        <v>92.5</v>
      </c>
      <c r="M67" t="s">
        <v>1032</v>
      </c>
      <c r="N67" s="13">
        <v>279.99</v>
      </c>
      <c r="O67" t="s">
        <v>1033</v>
      </c>
      <c r="P67" t="s">
        <v>1034</v>
      </c>
    </row>
    <row r="68" spans="1:16" ht="16.5" customHeight="1" x14ac:dyDescent="0.25">
      <c r="A68" t="s">
        <v>256</v>
      </c>
      <c r="B68" s="22" t="s">
        <v>1343</v>
      </c>
      <c r="C68" s="20">
        <v>1114646273</v>
      </c>
      <c r="D68" t="s">
        <v>1076</v>
      </c>
      <c r="E68" s="25" t="s">
        <v>1198</v>
      </c>
      <c r="F68" t="s">
        <v>12</v>
      </c>
      <c r="G68" t="s">
        <v>205</v>
      </c>
      <c r="H68" s="7" t="s">
        <v>1063</v>
      </c>
      <c r="I68" s="7">
        <v>16</v>
      </c>
      <c r="J68" s="7">
        <v>18</v>
      </c>
      <c r="K68" s="10">
        <f>I68*2.5</f>
        <v>40</v>
      </c>
      <c r="L68" s="10">
        <f>J68*2.5</f>
        <v>45</v>
      </c>
      <c r="M68" t="s">
        <v>257</v>
      </c>
      <c r="N68" s="13">
        <v>67.95</v>
      </c>
      <c r="O68" t="s">
        <v>258</v>
      </c>
      <c r="P68" t="s">
        <v>259</v>
      </c>
    </row>
    <row r="69" spans="1:16" ht="16.5" customHeight="1" x14ac:dyDescent="0.25">
      <c r="A69" t="s">
        <v>30</v>
      </c>
      <c r="B69" s="22" t="s">
        <v>1344</v>
      </c>
      <c r="C69" s="20">
        <v>1114647201</v>
      </c>
      <c r="D69" t="s">
        <v>31</v>
      </c>
      <c r="E69" s="25" t="s">
        <v>1245</v>
      </c>
      <c r="F69" t="s">
        <v>12</v>
      </c>
      <c r="G69" t="s">
        <v>22</v>
      </c>
      <c r="H69" s="7" t="s">
        <v>1056</v>
      </c>
      <c r="I69" s="7">
        <v>26</v>
      </c>
      <c r="J69" s="7">
        <v>22</v>
      </c>
      <c r="K69" s="10">
        <f>I69*2.5</f>
        <v>65</v>
      </c>
      <c r="L69" s="10">
        <f>J69*2.5</f>
        <v>55</v>
      </c>
      <c r="M69" t="s">
        <v>32</v>
      </c>
      <c r="N69" s="13">
        <v>197.95</v>
      </c>
      <c r="O69" t="s">
        <v>33</v>
      </c>
      <c r="P69" s="3" t="s">
        <v>34</v>
      </c>
    </row>
    <row r="70" spans="1:16" ht="16.5" customHeight="1" x14ac:dyDescent="0.25">
      <c r="A70" t="s">
        <v>313</v>
      </c>
      <c r="B70" s="22" t="s">
        <v>1317</v>
      </c>
      <c r="C70" s="20">
        <v>1114646093</v>
      </c>
      <c r="D70" t="s">
        <v>314</v>
      </c>
      <c r="E70" s="25" t="s">
        <v>1221</v>
      </c>
      <c r="F70" t="s">
        <v>12</v>
      </c>
      <c r="G70" t="s">
        <v>41</v>
      </c>
      <c r="H70" s="7" t="s">
        <v>1059</v>
      </c>
      <c r="I70" s="7">
        <v>21</v>
      </c>
      <c r="J70" s="7">
        <v>39</v>
      </c>
      <c r="K70" s="10">
        <f>I70*2.5</f>
        <v>52.5</v>
      </c>
      <c r="L70" s="10">
        <f>J70*2.5</f>
        <v>97.5</v>
      </c>
      <c r="M70" t="s">
        <v>315</v>
      </c>
      <c r="N70" s="13">
        <v>134.99</v>
      </c>
      <c r="O70" t="s">
        <v>316</v>
      </c>
      <c r="P70" t="s">
        <v>317</v>
      </c>
    </row>
    <row r="71" spans="1:16" ht="16.5" customHeight="1" x14ac:dyDescent="0.25">
      <c r="A71" t="s">
        <v>318</v>
      </c>
      <c r="B71" s="22" t="s">
        <v>1324</v>
      </c>
      <c r="C71" s="20">
        <v>1114646085</v>
      </c>
      <c r="D71" t="s">
        <v>319</v>
      </c>
      <c r="E71" s="25" t="s">
        <v>1199</v>
      </c>
      <c r="F71" t="s">
        <v>12</v>
      </c>
      <c r="G71" t="s">
        <v>205</v>
      </c>
      <c r="H71" s="7" t="s">
        <v>1063</v>
      </c>
      <c r="I71" s="7">
        <v>33</v>
      </c>
      <c r="J71" s="7">
        <v>22</v>
      </c>
      <c r="K71" s="10">
        <f>I71*2.5</f>
        <v>82.5</v>
      </c>
      <c r="L71" s="10">
        <f>J71*2.5</f>
        <v>55</v>
      </c>
      <c r="M71" t="s">
        <v>320</v>
      </c>
      <c r="N71" s="13">
        <v>74.989999999999995</v>
      </c>
      <c r="O71" t="s">
        <v>321</v>
      </c>
      <c r="P71" t="s">
        <v>322</v>
      </c>
    </row>
    <row r="72" spans="1:16" ht="16.5" customHeight="1" x14ac:dyDescent="0.25">
      <c r="A72" t="s">
        <v>575</v>
      </c>
      <c r="B72" s="22" t="s">
        <v>1342</v>
      </c>
      <c r="C72" s="20">
        <v>1114645109</v>
      </c>
      <c r="D72" t="s">
        <v>576</v>
      </c>
      <c r="E72" s="25" t="s">
        <v>1282</v>
      </c>
      <c r="F72" t="s">
        <v>12</v>
      </c>
      <c r="G72" t="s">
        <v>17</v>
      </c>
      <c r="H72" s="7" t="s">
        <v>1056</v>
      </c>
      <c r="I72" s="7">
        <v>23</v>
      </c>
      <c r="J72" s="7">
        <v>30</v>
      </c>
      <c r="K72" s="10">
        <f>I72*2.5</f>
        <v>57.5</v>
      </c>
      <c r="L72" s="10">
        <f>J72*2.5</f>
        <v>75</v>
      </c>
      <c r="M72" t="s">
        <v>577</v>
      </c>
      <c r="N72" s="13">
        <v>162.94999999999999</v>
      </c>
      <c r="O72" t="s">
        <v>578</v>
      </c>
      <c r="P72" t="s">
        <v>579</v>
      </c>
    </row>
    <row r="73" spans="1:16" ht="16.5" customHeight="1" x14ac:dyDescent="0.25">
      <c r="A73" t="s">
        <v>60</v>
      </c>
      <c r="B73" s="22" t="s">
        <v>1345</v>
      </c>
      <c r="C73" s="20">
        <v>1114647061</v>
      </c>
      <c r="D73" t="s">
        <v>61</v>
      </c>
      <c r="E73" s="25" t="s">
        <v>1246</v>
      </c>
      <c r="F73" t="s">
        <v>12</v>
      </c>
      <c r="G73" t="s">
        <v>22</v>
      </c>
      <c r="H73" s="7" t="s">
        <v>1056</v>
      </c>
      <c r="I73" s="7">
        <v>14</v>
      </c>
      <c r="J73" s="7">
        <v>18</v>
      </c>
      <c r="K73" s="10">
        <f>I73*2.5</f>
        <v>35</v>
      </c>
      <c r="L73" s="10">
        <f>J73*2.5</f>
        <v>45</v>
      </c>
      <c r="M73" t="s">
        <v>62</v>
      </c>
      <c r="N73" s="13">
        <v>154.94999999999999</v>
      </c>
      <c r="O73" t="s">
        <v>63</v>
      </c>
      <c r="P73" t="s">
        <v>64</v>
      </c>
    </row>
    <row r="74" spans="1:16" ht="16.5" customHeight="1" x14ac:dyDescent="0.25">
      <c r="A74" t="s">
        <v>846</v>
      </c>
      <c r="B74" s="22" t="s">
        <v>1321</v>
      </c>
      <c r="C74" s="20">
        <v>1114644141</v>
      </c>
      <c r="D74" t="s">
        <v>847</v>
      </c>
      <c r="E74" s="25" t="s">
        <v>1234</v>
      </c>
      <c r="F74" t="s">
        <v>12</v>
      </c>
      <c r="G74" t="s">
        <v>41</v>
      </c>
      <c r="H74" s="7" t="s">
        <v>1059</v>
      </c>
      <c r="I74" s="7">
        <v>23</v>
      </c>
      <c r="J74" s="7">
        <v>33</v>
      </c>
      <c r="K74" s="10">
        <f>I74*2.5</f>
        <v>57.5</v>
      </c>
      <c r="L74" s="10">
        <f>J74*2.5</f>
        <v>82.5</v>
      </c>
      <c r="M74" t="s">
        <v>848</v>
      </c>
      <c r="N74" s="13">
        <v>79.95</v>
      </c>
      <c r="O74" t="s">
        <v>849</v>
      </c>
      <c r="P74" t="s">
        <v>850</v>
      </c>
    </row>
    <row r="75" spans="1:16" ht="16.5" customHeight="1" x14ac:dyDescent="0.25">
      <c r="A75" t="s">
        <v>425</v>
      </c>
      <c r="B75" s="22" t="s">
        <v>1325</v>
      </c>
      <c r="C75" s="20">
        <v>1114645573</v>
      </c>
      <c r="D75" t="s">
        <v>426</v>
      </c>
      <c r="E75" s="25" t="s">
        <v>1224</v>
      </c>
      <c r="F75" t="s">
        <v>12</v>
      </c>
      <c r="G75" t="s">
        <v>41</v>
      </c>
      <c r="H75" s="7" t="s">
        <v>1059</v>
      </c>
      <c r="I75" s="7">
        <v>26</v>
      </c>
      <c r="J75" s="7">
        <v>29</v>
      </c>
      <c r="K75" s="10">
        <f>I75*2.5</f>
        <v>65</v>
      </c>
      <c r="L75" s="10">
        <f>J75*2.5</f>
        <v>72.5</v>
      </c>
      <c r="M75" t="s">
        <v>427</v>
      </c>
      <c r="N75" s="13">
        <v>129.99</v>
      </c>
      <c r="O75" t="s">
        <v>428</v>
      </c>
      <c r="P75" t="s">
        <v>429</v>
      </c>
    </row>
    <row r="76" spans="1:16" ht="16.5" customHeight="1" x14ac:dyDescent="0.25">
      <c r="A76" t="s">
        <v>580</v>
      </c>
      <c r="B76" s="22" t="s">
        <v>1346</v>
      </c>
      <c r="C76" s="20">
        <v>1114645105</v>
      </c>
      <c r="D76" t="s">
        <v>581</v>
      </c>
      <c r="E76" s="25" t="s">
        <v>1283</v>
      </c>
      <c r="F76" t="s">
        <v>12</v>
      </c>
      <c r="G76" t="s">
        <v>17</v>
      </c>
      <c r="H76" s="7" t="s">
        <v>1056</v>
      </c>
      <c r="I76" s="7">
        <v>24</v>
      </c>
      <c r="J76" s="7">
        <v>35</v>
      </c>
      <c r="K76" s="10">
        <f>I76*2.5</f>
        <v>60</v>
      </c>
      <c r="L76" s="10">
        <f>J76*2.5</f>
        <v>87.5</v>
      </c>
      <c r="M76" t="s">
        <v>582</v>
      </c>
      <c r="N76" s="13">
        <v>197.95</v>
      </c>
      <c r="O76" t="s">
        <v>583</v>
      </c>
      <c r="P76" t="s">
        <v>584</v>
      </c>
    </row>
    <row r="77" spans="1:16" ht="16.5" customHeight="1" x14ac:dyDescent="0.25">
      <c r="A77" t="s">
        <v>585</v>
      </c>
      <c r="B77" s="22" t="s">
        <v>1324</v>
      </c>
      <c r="C77" s="20">
        <v>1114645097</v>
      </c>
      <c r="D77" t="s">
        <v>586</v>
      </c>
      <c r="E77" s="24" t="s">
        <v>1140</v>
      </c>
      <c r="F77" t="s">
        <v>12</v>
      </c>
      <c r="G77" t="s">
        <v>102</v>
      </c>
      <c r="H77" s="7" t="s">
        <v>1056</v>
      </c>
      <c r="I77" s="7">
        <v>22</v>
      </c>
      <c r="J77" s="7">
        <v>35</v>
      </c>
      <c r="K77" s="10">
        <f>I77*2.5</f>
        <v>55</v>
      </c>
      <c r="L77" s="10">
        <f>J77*2.5</f>
        <v>87.5</v>
      </c>
      <c r="M77" t="s">
        <v>587</v>
      </c>
      <c r="N77" s="13">
        <v>202.95</v>
      </c>
      <c r="O77" t="s">
        <v>588</v>
      </c>
      <c r="P77" t="s">
        <v>589</v>
      </c>
    </row>
    <row r="78" spans="1:16" ht="16.5" customHeight="1" x14ac:dyDescent="0.25">
      <c r="A78" t="s">
        <v>167</v>
      </c>
      <c r="B78" s="22" t="s">
        <v>1330</v>
      </c>
      <c r="C78" s="20">
        <v>1114646641</v>
      </c>
      <c r="D78" t="s">
        <v>168</v>
      </c>
      <c r="E78" s="25" t="s">
        <v>1264</v>
      </c>
      <c r="F78" t="s">
        <v>12</v>
      </c>
      <c r="G78" t="s">
        <v>17</v>
      </c>
      <c r="H78" s="7" t="s">
        <v>1056</v>
      </c>
      <c r="I78" s="7">
        <v>33</v>
      </c>
      <c r="J78" s="7">
        <v>44</v>
      </c>
      <c r="K78" s="10">
        <f>I78*2.5</f>
        <v>82.5</v>
      </c>
      <c r="L78" s="10">
        <f>J78*2.5</f>
        <v>110</v>
      </c>
      <c r="M78" t="s">
        <v>169</v>
      </c>
      <c r="N78" s="13">
        <v>149.94999999999999</v>
      </c>
      <c r="O78" t="s">
        <v>170</v>
      </c>
      <c r="P78" t="s">
        <v>171</v>
      </c>
    </row>
    <row r="79" spans="1:16" ht="16.5" customHeight="1" x14ac:dyDescent="0.25">
      <c r="A79" t="s">
        <v>111</v>
      </c>
      <c r="B79" s="22" t="s">
        <v>1332</v>
      </c>
      <c r="C79" s="20">
        <v>1114646893</v>
      </c>
      <c r="D79" t="s">
        <v>112</v>
      </c>
      <c r="E79" s="25" t="s">
        <v>1217</v>
      </c>
      <c r="F79" t="s">
        <v>12</v>
      </c>
      <c r="G79" t="s">
        <v>41</v>
      </c>
      <c r="H79" s="7" t="s">
        <v>1059</v>
      </c>
      <c r="I79" s="7">
        <v>28</v>
      </c>
      <c r="J79" s="7">
        <v>33</v>
      </c>
      <c r="K79" s="10">
        <f>I79*2.5</f>
        <v>70</v>
      </c>
      <c r="L79" s="10">
        <f>J79*2.5</f>
        <v>82.5</v>
      </c>
      <c r="M79" t="s">
        <v>113</v>
      </c>
      <c r="N79" s="13">
        <v>89.95</v>
      </c>
      <c r="O79" t="s">
        <v>114</v>
      </c>
      <c r="P79" t="s">
        <v>115</v>
      </c>
    </row>
    <row r="80" spans="1:16" ht="16.5" customHeight="1" x14ac:dyDescent="0.25">
      <c r="A80" t="s">
        <v>100</v>
      </c>
      <c r="B80" s="22" t="s">
        <v>1332</v>
      </c>
      <c r="C80" s="20">
        <v>1114646949</v>
      </c>
      <c r="D80" t="s">
        <v>101</v>
      </c>
      <c r="E80" s="24" t="s">
        <v>1136</v>
      </c>
      <c r="F80" t="s">
        <v>12</v>
      </c>
      <c r="G80" t="s">
        <v>102</v>
      </c>
      <c r="H80" s="7" t="s">
        <v>1056</v>
      </c>
      <c r="I80" s="7">
        <v>26</v>
      </c>
      <c r="J80" s="7">
        <v>35</v>
      </c>
      <c r="K80" s="10">
        <f>I80*2.5</f>
        <v>65</v>
      </c>
      <c r="L80" s="10">
        <f>J80*2.5</f>
        <v>87.5</v>
      </c>
      <c r="M80" t="s">
        <v>103</v>
      </c>
      <c r="N80" s="13">
        <v>154.94999999999999</v>
      </c>
      <c r="O80" t="s">
        <v>104</v>
      </c>
      <c r="P80" t="s">
        <v>105</v>
      </c>
    </row>
    <row r="81" spans="1:16" ht="16.5" customHeight="1" x14ac:dyDescent="0.25">
      <c r="A81" t="s">
        <v>95</v>
      </c>
      <c r="B81" s="22" t="s">
        <v>1332</v>
      </c>
      <c r="C81" s="20">
        <v>1114646957</v>
      </c>
      <c r="D81" t="s">
        <v>96</v>
      </c>
      <c r="E81" s="25" t="s">
        <v>1297</v>
      </c>
      <c r="F81" t="s">
        <v>12</v>
      </c>
      <c r="G81" t="s">
        <v>13</v>
      </c>
      <c r="H81" s="7" t="s">
        <v>1056</v>
      </c>
      <c r="I81" s="7">
        <v>25</v>
      </c>
      <c r="J81" s="7">
        <v>25</v>
      </c>
      <c r="K81" s="10">
        <f>I81*2.5</f>
        <v>62.5</v>
      </c>
      <c r="L81" s="10">
        <f>J81*2.5</f>
        <v>62.5</v>
      </c>
      <c r="M81" t="s">
        <v>97</v>
      </c>
      <c r="N81" s="13">
        <v>174.95</v>
      </c>
      <c r="O81" t="s">
        <v>98</v>
      </c>
      <c r="P81" t="s">
        <v>99</v>
      </c>
    </row>
    <row r="82" spans="1:16" ht="16.5" customHeight="1" x14ac:dyDescent="0.25">
      <c r="A82" t="s">
        <v>485</v>
      </c>
      <c r="B82" s="22" t="s">
        <v>1321</v>
      </c>
      <c r="C82" s="20">
        <v>1114645349</v>
      </c>
      <c r="D82" t="s">
        <v>486</v>
      </c>
      <c r="E82" s="25" t="s">
        <v>1200</v>
      </c>
      <c r="F82" t="s">
        <v>12</v>
      </c>
      <c r="G82" t="s">
        <v>205</v>
      </c>
      <c r="H82" s="7" t="s">
        <v>1063</v>
      </c>
      <c r="I82" s="7">
        <v>18</v>
      </c>
      <c r="J82" s="7">
        <v>27</v>
      </c>
      <c r="K82" s="10">
        <f>I82*2.5</f>
        <v>45</v>
      </c>
      <c r="L82" s="10">
        <f>J82*2.5</f>
        <v>67.5</v>
      </c>
      <c r="M82" t="s">
        <v>487</v>
      </c>
      <c r="N82" s="13">
        <v>99.99</v>
      </c>
      <c r="O82" t="s">
        <v>488</v>
      </c>
      <c r="P82" t="s">
        <v>489</v>
      </c>
    </row>
    <row r="83" spans="1:16" ht="16.5" customHeight="1" x14ac:dyDescent="0.25">
      <c r="A83" t="s">
        <v>525</v>
      </c>
      <c r="B83" s="22" t="s">
        <v>1334</v>
      </c>
      <c r="C83" s="20">
        <v>1114645229</v>
      </c>
      <c r="D83" t="s">
        <v>526</v>
      </c>
      <c r="E83" s="24" t="s">
        <v>1133</v>
      </c>
      <c r="F83" t="s">
        <v>12</v>
      </c>
      <c r="G83" t="s">
        <v>286</v>
      </c>
      <c r="H83" s="7" t="s">
        <v>1055</v>
      </c>
      <c r="I83" s="7">
        <v>26</v>
      </c>
      <c r="J83" s="7">
        <v>31</v>
      </c>
      <c r="K83" s="10">
        <f>I83*2.5</f>
        <v>65</v>
      </c>
      <c r="L83" s="10">
        <f>J83*2.5</f>
        <v>77.5</v>
      </c>
      <c r="M83" t="s">
        <v>527</v>
      </c>
      <c r="N83" s="13">
        <v>242.95</v>
      </c>
      <c r="O83" t="s">
        <v>528</v>
      </c>
      <c r="P83" t="s">
        <v>529</v>
      </c>
    </row>
    <row r="84" spans="1:16" ht="16.5" customHeight="1" x14ac:dyDescent="0.25">
      <c r="A84" t="s">
        <v>685</v>
      </c>
      <c r="B84" s="22" t="s">
        <v>1344</v>
      </c>
      <c r="C84" s="20">
        <v>1114644765</v>
      </c>
      <c r="D84" t="s">
        <v>686</v>
      </c>
      <c r="E84" s="25" t="s">
        <v>1305</v>
      </c>
      <c r="F84" t="s">
        <v>12</v>
      </c>
      <c r="G84" t="s">
        <v>13</v>
      </c>
      <c r="H84" s="7" t="s">
        <v>1056</v>
      </c>
      <c r="I84" s="7">
        <v>22</v>
      </c>
      <c r="J84" s="7">
        <v>22</v>
      </c>
      <c r="K84" s="10">
        <f>I84*2.5</f>
        <v>55</v>
      </c>
      <c r="L84" s="10">
        <f>J84*2.5</f>
        <v>55</v>
      </c>
      <c r="M84" t="s">
        <v>687</v>
      </c>
      <c r="N84" s="13">
        <v>222.95</v>
      </c>
      <c r="O84" t="s">
        <v>688</v>
      </c>
      <c r="P84" t="s">
        <v>689</v>
      </c>
    </row>
    <row r="85" spans="1:16" ht="16.5" customHeight="1" x14ac:dyDescent="0.25">
      <c r="A85" t="s">
        <v>615</v>
      </c>
      <c r="B85" s="22" t="s">
        <v>1347</v>
      </c>
      <c r="C85" s="20">
        <v>1114644961</v>
      </c>
      <c r="D85" t="s">
        <v>616</v>
      </c>
      <c r="E85" s="24" t="s">
        <v>1103</v>
      </c>
      <c r="F85" t="s">
        <v>12</v>
      </c>
      <c r="G85" t="s">
        <v>324</v>
      </c>
      <c r="H85" s="7" t="s">
        <v>1054</v>
      </c>
      <c r="I85" s="7">
        <v>40</v>
      </c>
      <c r="J85" s="7">
        <v>23</v>
      </c>
      <c r="K85" s="10">
        <f>I85*2.5</f>
        <v>100</v>
      </c>
      <c r="L85" s="10">
        <f>J85*2.5</f>
        <v>57.5</v>
      </c>
      <c r="M85" t="s">
        <v>617</v>
      </c>
      <c r="N85" s="13">
        <v>239.95</v>
      </c>
      <c r="O85" t="s">
        <v>618</v>
      </c>
      <c r="P85" t="s">
        <v>619</v>
      </c>
    </row>
    <row r="86" spans="1:16" ht="16.5" customHeight="1" x14ac:dyDescent="0.25">
      <c r="A86" t="s">
        <v>302</v>
      </c>
      <c r="B86" s="22" t="s">
        <v>1348</v>
      </c>
      <c r="C86" s="20">
        <v>1114646141</v>
      </c>
      <c r="D86" t="s">
        <v>1068</v>
      </c>
      <c r="E86" s="24" t="s">
        <v>1118</v>
      </c>
      <c r="F86" t="s">
        <v>12</v>
      </c>
      <c r="G86" t="s">
        <v>303</v>
      </c>
      <c r="H86" s="7" t="s">
        <v>1054</v>
      </c>
      <c r="I86" s="7">
        <v>17</v>
      </c>
      <c r="J86" s="7">
        <v>16</v>
      </c>
      <c r="K86" s="10">
        <f>I86*2.5</f>
        <v>42.5</v>
      </c>
      <c r="L86" s="10">
        <f>J86*2.5</f>
        <v>40</v>
      </c>
      <c r="M86" t="s">
        <v>304</v>
      </c>
      <c r="N86" s="13">
        <v>59.95</v>
      </c>
      <c r="O86" t="s">
        <v>305</v>
      </c>
      <c r="P86" s="2" t="str">
        <f>"(display image: "&amp;A86&amp;")"</f>
        <v>(display image: Island Sunset Casket Insert)</v>
      </c>
    </row>
    <row r="87" spans="1:16" ht="16.5" customHeight="1" x14ac:dyDescent="0.25">
      <c r="A87" t="s">
        <v>535</v>
      </c>
      <c r="B87" s="22" t="s">
        <v>1349</v>
      </c>
      <c r="C87" s="20">
        <v>1114645213</v>
      </c>
      <c r="D87" t="s">
        <v>536</v>
      </c>
      <c r="E87" s="25" t="s">
        <v>1174</v>
      </c>
      <c r="F87" t="s">
        <v>12</v>
      </c>
      <c r="G87" t="s">
        <v>46</v>
      </c>
      <c r="H87" s="7" t="s">
        <v>1058</v>
      </c>
      <c r="I87" s="7">
        <v>20</v>
      </c>
      <c r="J87" s="7">
        <v>32</v>
      </c>
      <c r="K87" s="10">
        <f>I87*2.5</f>
        <v>50</v>
      </c>
      <c r="L87" s="10">
        <f>J87*2.5</f>
        <v>80</v>
      </c>
      <c r="M87" t="s">
        <v>537</v>
      </c>
      <c r="N87" s="13">
        <v>115</v>
      </c>
      <c r="O87" t="s">
        <v>538</v>
      </c>
      <c r="P87" t="s">
        <v>539</v>
      </c>
    </row>
    <row r="88" spans="1:16" ht="16.5" customHeight="1" x14ac:dyDescent="0.25">
      <c r="A88" t="s">
        <v>926</v>
      </c>
      <c r="B88" s="22" t="s">
        <v>1324</v>
      </c>
      <c r="C88" s="20">
        <v>1114643725</v>
      </c>
      <c r="D88" t="s">
        <v>927</v>
      </c>
      <c r="E88" s="25" t="s">
        <v>1204</v>
      </c>
      <c r="F88" t="s">
        <v>12</v>
      </c>
      <c r="G88" t="s">
        <v>205</v>
      </c>
      <c r="H88" s="7" t="s">
        <v>1063</v>
      </c>
      <c r="I88" s="7">
        <v>19</v>
      </c>
      <c r="J88" s="7">
        <v>16</v>
      </c>
      <c r="K88" s="10">
        <f>I88*2.5</f>
        <v>47.5</v>
      </c>
      <c r="L88" s="10">
        <f>J88*2.5</f>
        <v>40</v>
      </c>
      <c r="M88" t="s">
        <v>928</v>
      </c>
      <c r="N88" s="13">
        <v>99.99</v>
      </c>
      <c r="O88" t="s">
        <v>929</v>
      </c>
      <c r="P88" t="s">
        <v>930</v>
      </c>
    </row>
    <row r="89" spans="1:16" ht="16.5" customHeight="1" x14ac:dyDescent="0.25">
      <c r="A89" t="s">
        <v>298</v>
      </c>
      <c r="B89" s="22" t="s">
        <v>1334</v>
      </c>
      <c r="C89" s="20">
        <v>1114646153</v>
      </c>
      <c r="D89" t="s">
        <v>1085</v>
      </c>
      <c r="E89" s="25" t="s">
        <v>1269</v>
      </c>
      <c r="F89" t="s">
        <v>12</v>
      </c>
      <c r="G89" t="s">
        <v>17</v>
      </c>
      <c r="H89" s="7" t="s">
        <v>1056</v>
      </c>
      <c r="I89" s="7">
        <v>30</v>
      </c>
      <c r="J89" s="7">
        <v>44</v>
      </c>
      <c r="K89" s="10">
        <f>I89*2.5</f>
        <v>75</v>
      </c>
      <c r="L89" s="10">
        <f>J89*2.5</f>
        <v>110</v>
      </c>
      <c r="M89" t="s">
        <v>299</v>
      </c>
      <c r="N89" s="13">
        <v>124.95</v>
      </c>
      <c r="O89" t="s">
        <v>300</v>
      </c>
      <c r="P89" t="s">
        <v>301</v>
      </c>
    </row>
    <row r="90" spans="1:16" ht="16.5" customHeight="1" x14ac:dyDescent="0.25">
      <c r="A90" t="s">
        <v>726</v>
      </c>
      <c r="B90" s="22" t="s">
        <v>1334</v>
      </c>
      <c r="C90" s="20">
        <v>1114644621</v>
      </c>
      <c r="D90" t="s">
        <v>727</v>
      </c>
      <c r="E90" s="24" t="s">
        <v>1111</v>
      </c>
      <c r="F90" t="s">
        <v>12</v>
      </c>
      <c r="G90" t="s">
        <v>324</v>
      </c>
      <c r="H90" s="7" t="s">
        <v>1054</v>
      </c>
      <c r="I90" s="7">
        <v>51</v>
      </c>
      <c r="J90" s="7">
        <v>22</v>
      </c>
      <c r="K90" s="10">
        <f>I90*2.5</f>
        <v>127.5</v>
      </c>
      <c r="L90" s="10">
        <f>J90*2.5</f>
        <v>55</v>
      </c>
      <c r="M90" t="s">
        <v>728</v>
      </c>
      <c r="N90" s="13">
        <v>304.95</v>
      </c>
      <c r="O90" t="s">
        <v>729</v>
      </c>
      <c r="P90" t="s">
        <v>730</v>
      </c>
    </row>
    <row r="91" spans="1:16" ht="16.5" customHeight="1" x14ac:dyDescent="0.25">
      <c r="A91" t="s">
        <v>460</v>
      </c>
      <c r="B91" s="22" t="s">
        <v>1344</v>
      </c>
      <c r="C91" s="20">
        <v>1114645437</v>
      </c>
      <c r="D91" t="s">
        <v>461</v>
      </c>
      <c r="E91" s="24" t="s">
        <v>1102</v>
      </c>
      <c r="F91" t="s">
        <v>12</v>
      </c>
      <c r="G91" t="s">
        <v>324</v>
      </c>
      <c r="H91" s="7" t="s">
        <v>1054</v>
      </c>
      <c r="I91" s="7">
        <v>49</v>
      </c>
      <c r="J91" s="7">
        <v>19</v>
      </c>
      <c r="K91" s="10">
        <f>I91*2.5</f>
        <v>122.5</v>
      </c>
      <c r="L91" s="10">
        <f>J91*2.5</f>
        <v>47.5</v>
      </c>
      <c r="M91" t="s">
        <v>462</v>
      </c>
      <c r="N91" s="13">
        <v>239.95</v>
      </c>
      <c r="O91" t="s">
        <v>463</v>
      </c>
      <c r="P91" t="s">
        <v>464</v>
      </c>
    </row>
    <row r="92" spans="1:16" ht="16.5" customHeight="1" x14ac:dyDescent="0.25">
      <c r="A92" t="s">
        <v>816</v>
      </c>
      <c r="B92" s="22" t="s">
        <v>1332</v>
      </c>
      <c r="C92" s="20">
        <v>1114644285</v>
      </c>
      <c r="D92" t="s">
        <v>817</v>
      </c>
      <c r="E92" s="25" t="s">
        <v>1292</v>
      </c>
      <c r="F92" t="s">
        <v>12</v>
      </c>
      <c r="G92" t="s">
        <v>17</v>
      </c>
      <c r="H92" s="7" t="s">
        <v>1056</v>
      </c>
      <c r="I92" s="7">
        <v>31</v>
      </c>
      <c r="J92" s="7">
        <v>50</v>
      </c>
      <c r="K92" s="10">
        <f>I92*2.5</f>
        <v>77.5</v>
      </c>
      <c r="L92" s="10">
        <f>J92*2.5</f>
        <v>125</v>
      </c>
      <c r="M92" t="s">
        <v>818</v>
      </c>
      <c r="N92" s="13">
        <v>204.95</v>
      </c>
      <c r="O92" t="s">
        <v>819</v>
      </c>
      <c r="P92" t="s">
        <v>820</v>
      </c>
    </row>
    <row r="93" spans="1:16" ht="16.5" customHeight="1" x14ac:dyDescent="0.25">
      <c r="A93" t="s">
        <v>372</v>
      </c>
      <c r="B93" s="22" t="s">
        <v>1350</v>
      </c>
      <c r="C93" s="20">
        <v>1114645897</v>
      </c>
      <c r="D93" t="s">
        <v>373</v>
      </c>
      <c r="E93" s="25" t="s">
        <v>1164</v>
      </c>
      <c r="F93" t="s">
        <v>12</v>
      </c>
      <c r="G93" t="s">
        <v>46</v>
      </c>
      <c r="H93" s="7" t="s">
        <v>1058</v>
      </c>
      <c r="I93" s="7">
        <v>20</v>
      </c>
      <c r="J93" s="7">
        <v>23</v>
      </c>
      <c r="K93" s="10">
        <f>I93*2.5</f>
        <v>50</v>
      </c>
      <c r="L93" s="10">
        <f>J93*2.5</f>
        <v>57.5</v>
      </c>
      <c r="M93" t="s">
        <v>374</v>
      </c>
      <c r="N93" s="13">
        <v>129.99</v>
      </c>
      <c r="O93" t="s">
        <v>375</v>
      </c>
      <c r="P93" t="s">
        <v>376</v>
      </c>
    </row>
    <row r="94" spans="1:16" ht="16.5" customHeight="1" x14ac:dyDescent="0.25">
      <c r="A94" t="s">
        <v>756</v>
      </c>
      <c r="B94" s="22" t="s">
        <v>1325</v>
      </c>
      <c r="C94" s="20">
        <v>1114644501</v>
      </c>
      <c r="D94" t="s">
        <v>757</v>
      </c>
      <c r="E94" s="25" t="s">
        <v>1150</v>
      </c>
      <c r="F94" t="s">
        <v>12</v>
      </c>
      <c r="G94" t="s">
        <v>184</v>
      </c>
      <c r="H94" s="7" t="s">
        <v>1057</v>
      </c>
      <c r="I94" s="7">
        <v>19</v>
      </c>
      <c r="J94" s="7">
        <v>14</v>
      </c>
      <c r="K94" s="10">
        <f>I94*2.5</f>
        <v>47.5</v>
      </c>
      <c r="L94" s="10">
        <f>J94*2.5</f>
        <v>35</v>
      </c>
      <c r="M94" t="s">
        <v>758</v>
      </c>
      <c r="N94" s="13">
        <v>69.989999999999995</v>
      </c>
      <c r="O94" t="s">
        <v>759</v>
      </c>
      <c r="P94" t="s">
        <v>760</v>
      </c>
    </row>
    <row r="95" spans="1:16" ht="16.5" customHeight="1" x14ac:dyDescent="0.25">
      <c r="A95" t="s">
        <v>886</v>
      </c>
      <c r="B95" s="22" t="s">
        <v>1330</v>
      </c>
      <c r="C95" s="20">
        <v>1114643893</v>
      </c>
      <c r="D95" t="s">
        <v>887</v>
      </c>
      <c r="E95" s="25" t="s">
        <v>1240</v>
      </c>
      <c r="F95" t="s">
        <v>12</v>
      </c>
      <c r="G95" t="s">
        <v>41</v>
      </c>
      <c r="H95" s="7" t="s">
        <v>1059</v>
      </c>
      <c r="I95" s="7">
        <v>24</v>
      </c>
      <c r="J95" s="7">
        <v>31</v>
      </c>
      <c r="K95" s="10">
        <f>I95*2.5</f>
        <v>60</v>
      </c>
      <c r="L95" s="10">
        <f>J95*2.5</f>
        <v>77.5</v>
      </c>
      <c r="M95" t="s">
        <v>888</v>
      </c>
      <c r="N95" s="13">
        <v>104.95</v>
      </c>
      <c r="O95" t="s">
        <v>889</v>
      </c>
      <c r="P95" t="s">
        <v>890</v>
      </c>
    </row>
    <row r="96" spans="1:16" ht="16.5" customHeight="1" x14ac:dyDescent="0.25">
      <c r="A96" t="s">
        <v>131</v>
      </c>
      <c r="B96" s="22" t="s">
        <v>1351</v>
      </c>
      <c r="C96" s="20">
        <v>1114646765</v>
      </c>
      <c r="D96" t="s">
        <v>132</v>
      </c>
      <c r="E96" s="25" t="s">
        <v>1250</v>
      </c>
      <c r="F96" t="s">
        <v>12</v>
      </c>
      <c r="G96" t="s">
        <v>22</v>
      </c>
      <c r="H96" s="7" t="s">
        <v>1056</v>
      </c>
      <c r="I96" s="7">
        <v>22</v>
      </c>
      <c r="J96" s="7">
        <v>22</v>
      </c>
      <c r="K96" s="10">
        <f>I96*2.5</f>
        <v>55</v>
      </c>
      <c r="L96" s="10">
        <f>J96*2.5</f>
        <v>55</v>
      </c>
      <c r="M96" t="s">
        <v>133</v>
      </c>
      <c r="N96" s="13">
        <v>154.94999999999999</v>
      </c>
      <c r="O96" t="s">
        <v>134</v>
      </c>
      <c r="P96" t="s">
        <v>135</v>
      </c>
    </row>
    <row r="97" spans="1:16" ht="16.5" customHeight="1" x14ac:dyDescent="0.25">
      <c r="A97" t="s">
        <v>901</v>
      </c>
      <c r="B97" s="22" t="s">
        <v>1325</v>
      </c>
      <c r="C97" s="20">
        <v>1114643821</v>
      </c>
      <c r="D97" t="s">
        <v>902</v>
      </c>
      <c r="E97" s="25" t="s">
        <v>1242</v>
      </c>
      <c r="F97" t="s">
        <v>12</v>
      </c>
      <c r="G97" t="s">
        <v>41</v>
      </c>
      <c r="H97" s="7" t="s">
        <v>1059</v>
      </c>
      <c r="I97" s="7">
        <v>27</v>
      </c>
      <c r="J97" s="7">
        <v>25</v>
      </c>
      <c r="K97" s="10">
        <f>I97*2.5</f>
        <v>67.5</v>
      </c>
      <c r="L97" s="10">
        <f>J97*2.5</f>
        <v>62.5</v>
      </c>
      <c r="M97" t="s">
        <v>903</v>
      </c>
      <c r="N97" s="13">
        <v>154.99</v>
      </c>
      <c r="O97" t="s">
        <v>904</v>
      </c>
      <c r="P97" t="s">
        <v>905</v>
      </c>
    </row>
    <row r="98" spans="1:16" ht="16.5" customHeight="1" x14ac:dyDescent="0.25">
      <c r="A98" t="s">
        <v>281</v>
      </c>
      <c r="B98" s="22" t="s">
        <v>1325</v>
      </c>
      <c r="C98" s="20">
        <v>1114646201</v>
      </c>
      <c r="D98" t="s">
        <v>1083</v>
      </c>
      <c r="E98" s="25" t="s">
        <v>1267</v>
      </c>
      <c r="F98" t="s">
        <v>12</v>
      </c>
      <c r="G98" t="s">
        <v>17</v>
      </c>
      <c r="H98" s="7" t="s">
        <v>1056</v>
      </c>
      <c r="I98" s="7">
        <v>29</v>
      </c>
      <c r="J98" s="7">
        <v>59</v>
      </c>
      <c r="K98" s="10">
        <f>I98*2.5</f>
        <v>72.5</v>
      </c>
      <c r="L98" s="10">
        <f>J98*2.5</f>
        <v>147.5</v>
      </c>
      <c r="M98" t="s">
        <v>282</v>
      </c>
      <c r="N98" s="13">
        <v>162.94999999999999</v>
      </c>
      <c r="O98" t="s">
        <v>283</v>
      </c>
      <c r="P98" t="s">
        <v>284</v>
      </c>
    </row>
    <row r="99" spans="1:16" ht="16.5" customHeight="1" x14ac:dyDescent="0.25">
      <c r="A99" t="s">
        <v>831</v>
      </c>
      <c r="B99" s="22" t="s">
        <v>1320</v>
      </c>
      <c r="C99" s="20">
        <v>1114644229</v>
      </c>
      <c r="D99" t="s">
        <v>832</v>
      </c>
      <c r="E99" s="25" t="s">
        <v>1253</v>
      </c>
      <c r="F99" t="s">
        <v>12</v>
      </c>
      <c r="G99" t="s">
        <v>22</v>
      </c>
      <c r="H99" s="7" t="s">
        <v>1056</v>
      </c>
      <c r="I99" s="7">
        <v>21</v>
      </c>
      <c r="J99" s="7">
        <v>21</v>
      </c>
      <c r="K99" s="10">
        <f>I99*2.5</f>
        <v>52.5</v>
      </c>
      <c r="L99" s="10">
        <f>J99*2.5</f>
        <v>52.5</v>
      </c>
      <c r="M99" t="s">
        <v>833</v>
      </c>
      <c r="N99" s="13">
        <v>194.95</v>
      </c>
      <c r="O99" t="s">
        <v>834</v>
      </c>
      <c r="P99" t="s">
        <v>835</v>
      </c>
    </row>
    <row r="100" spans="1:16" ht="16.5" customHeight="1" x14ac:dyDescent="0.25">
      <c r="A100" t="s">
        <v>545</v>
      </c>
      <c r="B100" s="22" t="s">
        <v>1352</v>
      </c>
      <c r="C100" s="20">
        <v>1114645189</v>
      </c>
      <c r="D100" t="s">
        <v>546</v>
      </c>
      <c r="E100" s="24" t="s">
        <v>1134</v>
      </c>
      <c r="F100" t="s">
        <v>12</v>
      </c>
      <c r="G100" t="s">
        <v>286</v>
      </c>
      <c r="H100" s="7" t="s">
        <v>1055</v>
      </c>
      <c r="I100" s="7">
        <v>24</v>
      </c>
      <c r="J100" s="7">
        <v>20</v>
      </c>
      <c r="K100" s="10">
        <f>I100*2.5</f>
        <v>60</v>
      </c>
      <c r="L100" s="10">
        <f>J100*2.5</f>
        <v>50</v>
      </c>
      <c r="M100" t="s">
        <v>547</v>
      </c>
      <c r="N100" s="13">
        <v>179.95</v>
      </c>
      <c r="O100" t="s">
        <v>548</v>
      </c>
      <c r="P100" t="s">
        <v>549</v>
      </c>
    </row>
    <row r="101" spans="1:16" ht="16.5" customHeight="1" x14ac:dyDescent="0.25">
      <c r="A101" t="s">
        <v>921</v>
      </c>
      <c r="B101" s="22" t="s">
        <v>1324</v>
      </c>
      <c r="C101" s="20">
        <v>1114643737</v>
      </c>
      <c r="D101" t="s">
        <v>922</v>
      </c>
      <c r="E101" s="25" t="s">
        <v>1203</v>
      </c>
      <c r="F101" t="s">
        <v>12</v>
      </c>
      <c r="G101" t="s">
        <v>205</v>
      </c>
      <c r="H101" s="7" t="s">
        <v>1063</v>
      </c>
      <c r="I101" s="7">
        <v>14</v>
      </c>
      <c r="J101" s="7">
        <v>15</v>
      </c>
      <c r="K101" s="10">
        <f>I101*2.5</f>
        <v>35</v>
      </c>
      <c r="L101" s="10">
        <f>J101*2.5</f>
        <v>37.5</v>
      </c>
      <c r="M101" t="s">
        <v>923</v>
      </c>
      <c r="N101" s="13">
        <v>79.989999999999995</v>
      </c>
      <c r="O101" t="s">
        <v>924</v>
      </c>
      <c r="P101" t="s">
        <v>925</v>
      </c>
    </row>
    <row r="102" spans="1:16" ht="16.5" customHeight="1" x14ac:dyDescent="0.25">
      <c r="A102" t="s">
        <v>811</v>
      </c>
      <c r="B102" s="22" t="s">
        <v>1332</v>
      </c>
      <c r="C102" s="20">
        <v>1114644293</v>
      </c>
      <c r="D102" t="s">
        <v>812</v>
      </c>
      <c r="E102" s="25" t="s">
        <v>1232</v>
      </c>
      <c r="F102" t="s">
        <v>12</v>
      </c>
      <c r="G102" t="s">
        <v>41</v>
      </c>
      <c r="H102" s="7" t="s">
        <v>1059</v>
      </c>
      <c r="I102" s="7">
        <v>31</v>
      </c>
      <c r="J102" s="7">
        <v>43</v>
      </c>
      <c r="K102" s="10">
        <f>I102*2.5</f>
        <v>77.5</v>
      </c>
      <c r="L102" s="10">
        <f>J102*2.5</f>
        <v>107.5</v>
      </c>
      <c r="M102" t="s">
        <v>813</v>
      </c>
      <c r="N102" s="13">
        <v>204.95</v>
      </c>
      <c r="O102" t="s">
        <v>814</v>
      </c>
      <c r="P102" t="s">
        <v>815</v>
      </c>
    </row>
    <row r="103" spans="1:16" ht="16.5" customHeight="1" x14ac:dyDescent="0.25">
      <c r="A103" t="s">
        <v>412</v>
      </c>
      <c r="B103" s="22" t="s">
        <v>1325</v>
      </c>
      <c r="C103" s="20">
        <v>1114645625</v>
      </c>
      <c r="D103" t="s">
        <v>1070</v>
      </c>
      <c r="E103" s="24" t="s">
        <v>1121</v>
      </c>
      <c r="F103" t="s">
        <v>12</v>
      </c>
      <c r="G103" t="s">
        <v>303</v>
      </c>
      <c r="H103" s="7" t="s">
        <v>1054</v>
      </c>
      <c r="I103" s="7">
        <v>19</v>
      </c>
      <c r="J103" s="7">
        <v>20</v>
      </c>
      <c r="K103" s="10">
        <f>I103*2.5</f>
        <v>47.5</v>
      </c>
      <c r="L103" s="10">
        <f>J103*2.5</f>
        <v>50</v>
      </c>
      <c r="M103" t="s">
        <v>413</v>
      </c>
      <c r="N103" s="13">
        <v>54.95</v>
      </c>
      <c r="O103" t="s">
        <v>414</v>
      </c>
      <c r="P103" s="2" t="str">
        <f>"(display image: "&amp;A103&amp;")"</f>
        <v>(display image: Moonlit Walk)</v>
      </c>
    </row>
    <row r="104" spans="1:16" ht="16.5" customHeight="1" x14ac:dyDescent="0.25">
      <c r="A104" t="s">
        <v>348</v>
      </c>
      <c r="B104" s="22" t="s">
        <v>1353</v>
      </c>
      <c r="C104" s="20">
        <v>1114645965</v>
      </c>
      <c r="D104" t="s">
        <v>349</v>
      </c>
      <c r="E104" s="25" t="s">
        <v>1300</v>
      </c>
      <c r="F104" t="s">
        <v>12</v>
      </c>
      <c r="G104" t="s">
        <v>13</v>
      </c>
      <c r="H104" s="7" t="s">
        <v>1056</v>
      </c>
      <c r="I104" s="7">
        <v>24</v>
      </c>
      <c r="J104" s="7">
        <v>24</v>
      </c>
      <c r="K104" s="10">
        <f>I104*2.5</f>
        <v>60</v>
      </c>
      <c r="L104" s="10">
        <f>J104*2.5</f>
        <v>60</v>
      </c>
      <c r="M104" t="s">
        <v>350</v>
      </c>
      <c r="N104" s="13">
        <v>179.95</v>
      </c>
      <c r="O104" t="s">
        <v>351</v>
      </c>
      <c r="P104" t="s">
        <v>352</v>
      </c>
    </row>
    <row r="105" spans="1:16" ht="16.5" customHeight="1" x14ac:dyDescent="0.25">
      <c r="A105" t="s">
        <v>271</v>
      </c>
      <c r="B105" s="22" t="s">
        <v>1320</v>
      </c>
      <c r="C105" s="20">
        <v>1114646237</v>
      </c>
      <c r="D105" t="s">
        <v>272</v>
      </c>
      <c r="E105" s="25" t="s">
        <v>1161</v>
      </c>
      <c r="F105" t="s">
        <v>12</v>
      </c>
      <c r="G105" t="s">
        <v>46</v>
      </c>
      <c r="H105" s="7" t="s">
        <v>1058</v>
      </c>
      <c r="I105" s="7">
        <v>24</v>
      </c>
      <c r="J105" s="7">
        <v>26</v>
      </c>
      <c r="K105" s="10">
        <f>I105*2.5</f>
        <v>60</v>
      </c>
      <c r="L105" s="10">
        <f>J105*2.5</f>
        <v>65</v>
      </c>
      <c r="M105" t="s">
        <v>273</v>
      </c>
      <c r="N105" s="13">
        <v>139.94999999999999</v>
      </c>
      <c r="O105" t="s">
        <v>274</v>
      </c>
      <c r="P105" t="s">
        <v>275</v>
      </c>
    </row>
    <row r="106" spans="1:16" ht="16.5" customHeight="1" x14ac:dyDescent="0.25">
      <c r="A106" t="s">
        <v>600</v>
      </c>
      <c r="B106" s="22" t="s">
        <v>1354</v>
      </c>
      <c r="C106" s="20">
        <v>1114645029</v>
      </c>
      <c r="D106" t="s">
        <v>601</v>
      </c>
      <c r="E106" s="25" t="s">
        <v>1286</v>
      </c>
      <c r="F106" t="s">
        <v>12</v>
      </c>
      <c r="G106" t="s">
        <v>17</v>
      </c>
      <c r="H106" s="7" t="s">
        <v>1056</v>
      </c>
      <c r="I106" s="7">
        <v>21</v>
      </c>
      <c r="J106" s="7">
        <v>39</v>
      </c>
      <c r="K106" s="10">
        <f>I106*2.5</f>
        <v>52.5</v>
      </c>
      <c r="L106" s="10">
        <f>J106*2.5</f>
        <v>97.5</v>
      </c>
      <c r="M106" t="s">
        <v>602</v>
      </c>
      <c r="N106" s="13">
        <v>152.94999999999999</v>
      </c>
      <c r="O106" t="s">
        <v>603</v>
      </c>
      <c r="P106" t="s">
        <v>604</v>
      </c>
    </row>
    <row r="107" spans="1:16" ht="16.5" customHeight="1" x14ac:dyDescent="0.25">
      <c r="A107" t="s">
        <v>25</v>
      </c>
      <c r="B107" s="22" t="s">
        <v>1333</v>
      </c>
      <c r="C107" s="20">
        <v>1114647209</v>
      </c>
      <c r="D107" t="s">
        <v>26</v>
      </c>
      <c r="E107" s="25" t="s">
        <v>1257</v>
      </c>
      <c r="F107" t="s">
        <v>12</v>
      </c>
      <c r="G107" t="s">
        <v>17</v>
      </c>
      <c r="H107" s="7" t="s">
        <v>1056</v>
      </c>
      <c r="I107" s="7">
        <v>22</v>
      </c>
      <c r="J107" s="7">
        <v>34</v>
      </c>
      <c r="K107" s="10">
        <f>I107*2.5</f>
        <v>55</v>
      </c>
      <c r="L107" s="10">
        <f>J107*2.5</f>
        <v>85</v>
      </c>
      <c r="M107" t="s">
        <v>27</v>
      </c>
      <c r="N107" s="13">
        <v>197.95</v>
      </c>
      <c r="O107" t="s">
        <v>28</v>
      </c>
      <c r="P107" s="3" t="s">
        <v>29</v>
      </c>
    </row>
    <row r="108" spans="1:16" ht="16.5" customHeight="1" x14ac:dyDescent="0.25">
      <c r="A108" t="s">
        <v>209</v>
      </c>
      <c r="B108" s="22" t="s">
        <v>1324</v>
      </c>
      <c r="C108" s="20">
        <v>1114646437</v>
      </c>
      <c r="D108" t="s">
        <v>210</v>
      </c>
      <c r="E108" s="25" t="s">
        <v>1188</v>
      </c>
      <c r="F108" t="s">
        <v>12</v>
      </c>
      <c r="G108" t="s">
        <v>205</v>
      </c>
      <c r="H108" s="7" t="s">
        <v>1063</v>
      </c>
      <c r="I108" s="7">
        <v>23</v>
      </c>
      <c r="J108" s="7">
        <v>30</v>
      </c>
      <c r="K108" s="10">
        <f>I108*2.5</f>
        <v>57.5</v>
      </c>
      <c r="L108" s="10">
        <f>J108*2.5</f>
        <v>75</v>
      </c>
      <c r="M108" t="s">
        <v>211</v>
      </c>
      <c r="N108" s="13">
        <v>64.95</v>
      </c>
      <c r="O108" t="s">
        <v>212</v>
      </c>
      <c r="P108" t="s">
        <v>213</v>
      </c>
    </row>
    <row r="109" spans="1:16" ht="16.5" customHeight="1" x14ac:dyDescent="0.25">
      <c r="A109" t="s">
        <v>1035</v>
      </c>
      <c r="B109" s="22" t="s">
        <v>1355</v>
      </c>
      <c r="C109" s="20">
        <v>1114643233</v>
      </c>
      <c r="D109" t="s">
        <v>1036</v>
      </c>
      <c r="E109" s="25" t="s">
        <v>1145</v>
      </c>
      <c r="F109" t="s">
        <v>12</v>
      </c>
      <c r="G109" t="s">
        <v>102</v>
      </c>
      <c r="H109" s="7" t="s">
        <v>1056</v>
      </c>
      <c r="I109" s="8">
        <v>22</v>
      </c>
      <c r="J109" s="8">
        <v>24</v>
      </c>
      <c r="K109" s="10">
        <f>I109*2.5</f>
        <v>55</v>
      </c>
      <c r="L109" s="10">
        <f>J109*2.5</f>
        <v>60</v>
      </c>
      <c r="M109" t="s">
        <v>1037</v>
      </c>
      <c r="N109" s="13">
        <v>255</v>
      </c>
      <c r="O109" t="s">
        <v>1038</v>
      </c>
      <c r="P109" s="2" t="str">
        <f>"(display image: "&amp;A109&amp;")"</f>
        <v>(display image: Pastel Cross)</v>
      </c>
    </row>
    <row r="110" spans="1:16" ht="16.5" customHeight="1" x14ac:dyDescent="0.25">
      <c r="A110" t="s">
        <v>721</v>
      </c>
      <c r="B110" s="22" t="s">
        <v>1323</v>
      </c>
      <c r="C110" s="20">
        <v>1114644633</v>
      </c>
      <c r="D110" t="s">
        <v>722</v>
      </c>
      <c r="E110" s="25" t="s">
        <v>1306</v>
      </c>
      <c r="F110" t="s">
        <v>12</v>
      </c>
      <c r="G110" t="s">
        <v>13</v>
      </c>
      <c r="H110" s="7" t="s">
        <v>1056</v>
      </c>
      <c r="I110" s="7">
        <v>25</v>
      </c>
      <c r="J110" s="7">
        <v>25</v>
      </c>
      <c r="K110" s="10">
        <f>I110*2.5</f>
        <v>62.5</v>
      </c>
      <c r="L110" s="10">
        <f>J110*2.5</f>
        <v>62.5</v>
      </c>
      <c r="M110" t="s">
        <v>723</v>
      </c>
      <c r="N110" s="13">
        <v>222.95</v>
      </c>
      <c r="O110" t="s">
        <v>724</v>
      </c>
      <c r="P110" t="s">
        <v>725</v>
      </c>
    </row>
    <row r="111" spans="1:16" ht="16.5" customHeight="1" x14ac:dyDescent="0.25">
      <c r="A111" t="s">
        <v>796</v>
      </c>
      <c r="B111" s="22" t="s">
        <v>1325</v>
      </c>
      <c r="C111" s="20">
        <v>1114644321</v>
      </c>
      <c r="D111" t="s">
        <v>797</v>
      </c>
      <c r="E111" s="25" t="s">
        <v>1151</v>
      </c>
      <c r="F111" t="s">
        <v>12</v>
      </c>
      <c r="G111" t="s">
        <v>184</v>
      </c>
      <c r="H111" s="7" t="s">
        <v>1057</v>
      </c>
      <c r="I111" s="7">
        <v>26</v>
      </c>
      <c r="J111" s="7">
        <v>25</v>
      </c>
      <c r="K111" s="10">
        <f>I111*2.5</f>
        <v>65</v>
      </c>
      <c r="L111" s="10">
        <f>J111*2.5</f>
        <v>62.5</v>
      </c>
      <c r="M111" t="s">
        <v>798</v>
      </c>
      <c r="N111" s="13">
        <v>84.95</v>
      </c>
      <c r="O111" t="s">
        <v>799</v>
      </c>
      <c r="P111" t="s">
        <v>800</v>
      </c>
    </row>
    <row r="112" spans="1:16" ht="16.5" customHeight="1" x14ac:dyDescent="0.25">
      <c r="A112" t="s">
        <v>35</v>
      </c>
      <c r="B112" s="22" t="s">
        <v>1353</v>
      </c>
      <c r="C112" s="20">
        <v>1114647181</v>
      </c>
      <c r="D112" t="s">
        <v>36</v>
      </c>
      <c r="E112" s="25" t="s">
        <v>1295</v>
      </c>
      <c r="F112" t="s">
        <v>12</v>
      </c>
      <c r="G112" t="s">
        <v>13</v>
      </c>
      <c r="H112" s="7" t="s">
        <v>1056</v>
      </c>
      <c r="I112" s="7">
        <v>20</v>
      </c>
      <c r="J112" s="7">
        <v>20</v>
      </c>
      <c r="K112" s="10">
        <f>I112*2.5</f>
        <v>50</v>
      </c>
      <c r="L112" s="10">
        <f>J112*2.5</f>
        <v>50</v>
      </c>
      <c r="M112" t="s">
        <v>14</v>
      </c>
      <c r="N112" s="13">
        <v>207.95</v>
      </c>
      <c r="O112" t="s">
        <v>37</v>
      </c>
      <c r="P112" s="3" t="s">
        <v>38</v>
      </c>
    </row>
    <row r="113" spans="1:16" ht="16.5" customHeight="1" x14ac:dyDescent="0.25">
      <c r="A113" t="s">
        <v>146</v>
      </c>
      <c r="B113" s="22" t="s">
        <v>1356</v>
      </c>
      <c r="C113" s="20">
        <v>1114646705</v>
      </c>
      <c r="D113" t="s">
        <v>147</v>
      </c>
      <c r="E113" s="24" t="s">
        <v>1138</v>
      </c>
      <c r="F113" t="s">
        <v>12</v>
      </c>
      <c r="G113" t="s">
        <v>102</v>
      </c>
      <c r="H113" s="7" t="s">
        <v>1056</v>
      </c>
      <c r="I113" s="7">
        <v>20</v>
      </c>
      <c r="J113" s="7">
        <v>30</v>
      </c>
      <c r="K113" s="10">
        <f>I113*2.5</f>
        <v>50</v>
      </c>
      <c r="L113" s="10">
        <f>J113*2.5</f>
        <v>75</v>
      </c>
      <c r="M113" t="s">
        <v>148</v>
      </c>
      <c r="N113" s="13">
        <v>119.95</v>
      </c>
      <c r="O113" t="s">
        <v>149</v>
      </c>
      <c r="P113" t="s">
        <v>150</v>
      </c>
    </row>
    <row r="114" spans="1:16" ht="16.5" customHeight="1" x14ac:dyDescent="0.25">
      <c r="A114" t="s">
        <v>560</v>
      </c>
      <c r="B114" s="22" t="s">
        <v>1321</v>
      </c>
      <c r="C114" s="20">
        <v>1114645153</v>
      </c>
      <c r="D114" t="s">
        <v>561</v>
      </c>
      <c r="E114" s="25" t="s">
        <v>1279</v>
      </c>
      <c r="F114" t="s">
        <v>12</v>
      </c>
      <c r="G114" t="s">
        <v>17</v>
      </c>
      <c r="H114" s="7" t="s">
        <v>1056</v>
      </c>
      <c r="I114" s="7">
        <v>22</v>
      </c>
      <c r="J114" s="7">
        <v>32</v>
      </c>
      <c r="K114" s="10">
        <f>I114*2.5</f>
        <v>55</v>
      </c>
      <c r="L114" s="10">
        <f>J114*2.5</f>
        <v>80</v>
      </c>
      <c r="M114" t="s">
        <v>562</v>
      </c>
      <c r="N114" s="13">
        <v>104.95</v>
      </c>
      <c r="O114" t="s">
        <v>563</v>
      </c>
      <c r="P114" t="s">
        <v>564</v>
      </c>
    </row>
    <row r="115" spans="1:16" ht="16.5" customHeight="1" x14ac:dyDescent="0.25">
      <c r="A115" t="s">
        <v>252</v>
      </c>
      <c r="B115" s="22" t="s">
        <v>1356</v>
      </c>
      <c r="C115" s="20">
        <v>1114646285</v>
      </c>
      <c r="D115" t="s">
        <v>1075</v>
      </c>
      <c r="E115" s="25" t="s">
        <v>1197</v>
      </c>
      <c r="F115" t="s">
        <v>12</v>
      </c>
      <c r="G115" t="s">
        <v>205</v>
      </c>
      <c r="H115" s="7" t="s">
        <v>1063</v>
      </c>
      <c r="I115" s="7">
        <v>21</v>
      </c>
      <c r="J115" s="7">
        <v>16</v>
      </c>
      <c r="K115" s="10">
        <f>I115*2.5</f>
        <v>52.5</v>
      </c>
      <c r="L115" s="10">
        <f>J115*2.5</f>
        <v>40</v>
      </c>
      <c r="M115" t="s">
        <v>253</v>
      </c>
      <c r="N115" s="13">
        <v>77.95</v>
      </c>
      <c r="O115" t="s">
        <v>254</v>
      </c>
      <c r="P115" t="s">
        <v>255</v>
      </c>
    </row>
    <row r="116" spans="1:16" ht="16.5" customHeight="1" x14ac:dyDescent="0.25">
      <c r="A116" t="s">
        <v>420</v>
      </c>
      <c r="B116" s="22" t="s">
        <v>1325</v>
      </c>
      <c r="C116" s="20">
        <v>1114645609</v>
      </c>
      <c r="D116" t="s">
        <v>421</v>
      </c>
      <c r="E116" s="24" t="s">
        <v>1122</v>
      </c>
      <c r="F116" t="s">
        <v>12</v>
      </c>
      <c r="G116" t="s">
        <v>303</v>
      </c>
      <c r="H116" s="7" t="s">
        <v>1054</v>
      </c>
      <c r="I116" s="7">
        <v>13</v>
      </c>
      <c r="J116" s="7">
        <v>10</v>
      </c>
      <c r="K116" s="10">
        <f>I116*2.5</f>
        <v>32.5</v>
      </c>
      <c r="L116" s="10">
        <f>J116*2.5</f>
        <v>25</v>
      </c>
      <c r="M116" t="s">
        <v>422</v>
      </c>
      <c r="N116" s="13">
        <v>69.95</v>
      </c>
      <c r="O116" t="s">
        <v>423</v>
      </c>
      <c r="P116" t="s">
        <v>424</v>
      </c>
    </row>
    <row r="117" spans="1:16" ht="16.5" customHeight="1" x14ac:dyDescent="0.25">
      <c r="A117" t="s">
        <v>781</v>
      </c>
      <c r="B117" s="22" t="s">
        <v>1325</v>
      </c>
      <c r="C117" s="20">
        <v>1114644429</v>
      </c>
      <c r="D117" t="s">
        <v>782</v>
      </c>
      <c r="E117" s="24" t="s">
        <v>1114</v>
      </c>
      <c r="F117" t="s">
        <v>12</v>
      </c>
      <c r="G117" t="s">
        <v>324</v>
      </c>
      <c r="H117" s="7" t="s">
        <v>1054</v>
      </c>
      <c r="I117" s="7">
        <v>47</v>
      </c>
      <c r="J117" s="7">
        <v>17</v>
      </c>
      <c r="K117" s="10">
        <f>I117*2.5</f>
        <v>117.5</v>
      </c>
      <c r="L117" s="10">
        <f>J117*2.5</f>
        <v>42.5</v>
      </c>
      <c r="M117" t="s">
        <v>783</v>
      </c>
      <c r="N117" s="13">
        <v>404.95</v>
      </c>
      <c r="O117" t="s">
        <v>784</v>
      </c>
      <c r="P117" t="s">
        <v>785</v>
      </c>
    </row>
    <row r="118" spans="1:16" ht="16.5" customHeight="1" x14ac:dyDescent="0.25">
      <c r="A118" t="s">
        <v>290</v>
      </c>
      <c r="B118" s="22" t="s">
        <v>1357</v>
      </c>
      <c r="C118" s="20">
        <v>1114646169</v>
      </c>
      <c r="D118" t="s">
        <v>1084</v>
      </c>
      <c r="E118" s="25" t="s">
        <v>1268</v>
      </c>
      <c r="F118" t="s">
        <v>12</v>
      </c>
      <c r="G118" t="s">
        <v>17</v>
      </c>
      <c r="H118" s="7" t="s">
        <v>1056</v>
      </c>
      <c r="I118" s="7">
        <v>24</v>
      </c>
      <c r="J118" s="7">
        <v>55</v>
      </c>
      <c r="K118" s="10">
        <f>I118*2.5</f>
        <v>60</v>
      </c>
      <c r="L118" s="10">
        <f>J118*2.5</f>
        <v>137.5</v>
      </c>
      <c r="M118" t="s">
        <v>291</v>
      </c>
      <c r="N118" s="13">
        <v>152.94999999999999</v>
      </c>
      <c r="O118" t="s">
        <v>292</v>
      </c>
      <c r="P118" t="s">
        <v>293</v>
      </c>
    </row>
    <row r="119" spans="1:16" ht="16.5" customHeight="1" x14ac:dyDescent="0.25">
      <c r="A119" t="s">
        <v>530</v>
      </c>
      <c r="B119" s="22" t="s">
        <v>1334</v>
      </c>
      <c r="C119" s="20">
        <v>1114645217</v>
      </c>
      <c r="D119" t="s">
        <v>531</v>
      </c>
      <c r="E119" s="25" t="s">
        <v>1156</v>
      </c>
      <c r="F119" t="s">
        <v>12</v>
      </c>
      <c r="G119" t="s">
        <v>153</v>
      </c>
      <c r="H119" s="7" t="s">
        <v>1057</v>
      </c>
      <c r="I119" s="7">
        <v>25</v>
      </c>
      <c r="J119" s="7">
        <v>21</v>
      </c>
      <c r="K119" s="10">
        <f>I119*2.5</f>
        <v>62.5</v>
      </c>
      <c r="L119" s="10">
        <f>J119*2.5</f>
        <v>52.5</v>
      </c>
      <c r="M119" t="s">
        <v>532</v>
      </c>
      <c r="N119" s="13">
        <v>130</v>
      </c>
      <c r="O119" t="s">
        <v>533</v>
      </c>
      <c r="P119" t="s">
        <v>534</v>
      </c>
    </row>
    <row r="120" spans="1:16" ht="16.5" customHeight="1" x14ac:dyDescent="0.25">
      <c r="A120" t="s">
        <v>590</v>
      </c>
      <c r="B120" s="22" t="s">
        <v>1357</v>
      </c>
      <c r="C120" s="20">
        <v>1114645085</v>
      </c>
      <c r="D120" t="s">
        <v>591</v>
      </c>
      <c r="E120" s="25" t="s">
        <v>1284</v>
      </c>
      <c r="F120" t="s">
        <v>12</v>
      </c>
      <c r="G120" t="s">
        <v>17</v>
      </c>
      <c r="H120" s="7" t="s">
        <v>1056</v>
      </c>
      <c r="I120" s="7">
        <v>29</v>
      </c>
      <c r="J120" s="7">
        <v>46</v>
      </c>
      <c r="K120" s="10">
        <f>I120*2.5</f>
        <v>72.5</v>
      </c>
      <c r="L120" s="10">
        <f>J120*2.5</f>
        <v>115</v>
      </c>
      <c r="M120" t="s">
        <v>592</v>
      </c>
      <c r="N120" s="13">
        <v>142.94999999999999</v>
      </c>
      <c r="O120" t="s">
        <v>593</v>
      </c>
      <c r="P120" t="s">
        <v>594</v>
      </c>
    </row>
    <row r="121" spans="1:16" ht="16.5" customHeight="1" x14ac:dyDescent="0.25">
      <c r="A121" t="s">
        <v>106</v>
      </c>
      <c r="B121" s="22" t="s">
        <v>1311</v>
      </c>
      <c r="C121" s="20">
        <v>1114646941</v>
      </c>
      <c r="D121" t="s">
        <v>107</v>
      </c>
      <c r="E121" s="25" t="s">
        <v>1261</v>
      </c>
      <c r="F121" t="s">
        <v>12</v>
      </c>
      <c r="G121" t="s">
        <v>17</v>
      </c>
      <c r="H121" s="7" t="s">
        <v>1056</v>
      </c>
      <c r="I121" s="7">
        <v>28</v>
      </c>
      <c r="J121" s="7">
        <v>60</v>
      </c>
      <c r="K121" s="10">
        <f>I121*2.5</f>
        <v>70</v>
      </c>
      <c r="L121" s="10">
        <f>J121*2.5</f>
        <v>150</v>
      </c>
      <c r="M121" t="s">
        <v>108</v>
      </c>
      <c r="N121" s="13">
        <v>129.96</v>
      </c>
      <c r="O121" t="s">
        <v>109</v>
      </c>
      <c r="P121" t="s">
        <v>110</v>
      </c>
    </row>
    <row r="122" spans="1:16" ht="16.5" customHeight="1" x14ac:dyDescent="0.25">
      <c r="A122" t="s">
        <v>90</v>
      </c>
      <c r="B122" s="22" t="s">
        <v>1312</v>
      </c>
      <c r="C122" s="20">
        <v>1114646961</v>
      </c>
      <c r="D122" t="s">
        <v>91</v>
      </c>
      <c r="E122" s="25" t="s">
        <v>1296</v>
      </c>
      <c r="F122" t="s">
        <v>12</v>
      </c>
      <c r="G122" t="s">
        <v>13</v>
      </c>
      <c r="H122" s="7" t="s">
        <v>1056</v>
      </c>
      <c r="I122" s="7">
        <v>19</v>
      </c>
      <c r="J122" s="7">
        <v>19</v>
      </c>
      <c r="K122" s="10">
        <f>I122*2.5</f>
        <v>47.5</v>
      </c>
      <c r="L122" s="10">
        <f>J122*2.5</f>
        <v>47.5</v>
      </c>
      <c r="M122" t="s">
        <v>92</v>
      </c>
      <c r="N122" s="13">
        <v>144.94999999999999</v>
      </c>
      <c r="O122" t="s">
        <v>93</v>
      </c>
      <c r="P122" t="s">
        <v>94</v>
      </c>
    </row>
    <row r="123" spans="1:16" ht="16.5" customHeight="1" x14ac:dyDescent="0.25">
      <c r="A123" t="s">
        <v>821</v>
      </c>
      <c r="B123" s="22" t="s">
        <v>1310</v>
      </c>
      <c r="C123" s="20">
        <v>1114644257</v>
      </c>
      <c r="D123" t="s">
        <v>822</v>
      </c>
      <c r="E123" s="24" t="s">
        <v>1116</v>
      </c>
      <c r="F123" t="s">
        <v>12</v>
      </c>
      <c r="G123" t="s">
        <v>324</v>
      </c>
      <c r="H123" s="7" t="s">
        <v>1054</v>
      </c>
      <c r="I123" s="7">
        <v>43</v>
      </c>
      <c r="J123" s="7">
        <v>23</v>
      </c>
      <c r="K123" s="10">
        <f>I123*2.5</f>
        <v>107.5</v>
      </c>
      <c r="L123" s="10">
        <f>J123*2.5</f>
        <v>57.5</v>
      </c>
      <c r="M123" t="s">
        <v>823</v>
      </c>
      <c r="N123" s="13">
        <v>304.99</v>
      </c>
      <c r="O123" t="s">
        <v>824</v>
      </c>
      <c r="P123" t="s">
        <v>825</v>
      </c>
    </row>
    <row r="124" spans="1:16" ht="16.5" customHeight="1" x14ac:dyDescent="0.25">
      <c r="A124" t="s">
        <v>766</v>
      </c>
      <c r="B124" s="22" t="s">
        <v>1310</v>
      </c>
      <c r="C124" s="20">
        <v>1114644485</v>
      </c>
      <c r="D124" t="s">
        <v>767</v>
      </c>
      <c r="E124" s="24" t="s">
        <v>1113</v>
      </c>
      <c r="F124" t="s">
        <v>12</v>
      </c>
      <c r="G124" t="s">
        <v>324</v>
      </c>
      <c r="H124" s="7" t="s">
        <v>1054</v>
      </c>
      <c r="I124" s="7">
        <v>40</v>
      </c>
      <c r="J124" s="7">
        <v>27</v>
      </c>
      <c r="K124" s="10">
        <f>I124*2.5</f>
        <v>100</v>
      </c>
      <c r="L124" s="10">
        <f>J124*2.5</f>
        <v>67.5</v>
      </c>
      <c r="M124" t="s">
        <v>768</v>
      </c>
      <c r="N124" s="13">
        <v>254.99</v>
      </c>
      <c r="O124" t="s">
        <v>769</v>
      </c>
      <c r="P124" t="s">
        <v>770</v>
      </c>
    </row>
    <row r="125" spans="1:16" ht="16.5" customHeight="1" x14ac:dyDescent="0.25">
      <c r="A125" t="s">
        <v>655</v>
      </c>
      <c r="B125" s="22" t="s">
        <v>1313</v>
      </c>
      <c r="C125" s="20">
        <v>1114644869</v>
      </c>
      <c r="D125" t="s">
        <v>656</v>
      </c>
      <c r="E125" s="25" t="s">
        <v>1302</v>
      </c>
      <c r="F125" t="s">
        <v>12</v>
      </c>
      <c r="G125" t="s">
        <v>13</v>
      </c>
      <c r="H125" s="7" t="s">
        <v>1056</v>
      </c>
      <c r="I125" s="7">
        <v>25</v>
      </c>
      <c r="J125" s="7">
        <v>25</v>
      </c>
      <c r="K125" s="10">
        <f>I125*2.5</f>
        <v>62.5</v>
      </c>
      <c r="L125" s="10">
        <f>J125*2.5</f>
        <v>62.5</v>
      </c>
      <c r="M125" t="s">
        <v>657</v>
      </c>
      <c r="N125" s="13">
        <v>207.95</v>
      </c>
      <c r="O125" t="s">
        <v>658</v>
      </c>
      <c r="P125" t="s">
        <v>659</v>
      </c>
    </row>
    <row r="126" spans="1:16" ht="16.5" customHeight="1" x14ac:dyDescent="0.25">
      <c r="A126" t="s">
        <v>353</v>
      </c>
      <c r="B126" s="22" t="s">
        <v>1314</v>
      </c>
      <c r="C126" s="20">
        <v>1114645941</v>
      </c>
      <c r="D126" t="s">
        <v>354</v>
      </c>
      <c r="E126" s="24" t="s">
        <v>1098</v>
      </c>
      <c r="F126" t="s">
        <v>12</v>
      </c>
      <c r="G126" t="s">
        <v>324</v>
      </c>
      <c r="H126" s="7" t="s">
        <v>1054</v>
      </c>
      <c r="I126" s="7">
        <v>47</v>
      </c>
      <c r="J126" s="7">
        <v>30</v>
      </c>
      <c r="K126" s="10">
        <f>I126*2.5</f>
        <v>117.5</v>
      </c>
      <c r="L126" s="10">
        <f>J126*2.5</f>
        <v>75</v>
      </c>
      <c r="M126" t="s">
        <v>355</v>
      </c>
      <c r="N126" s="13">
        <v>279.95</v>
      </c>
      <c r="O126" t="s">
        <v>356</v>
      </c>
      <c r="P126" t="s">
        <v>357</v>
      </c>
    </row>
    <row r="127" spans="1:16" ht="16.5" customHeight="1" x14ac:dyDescent="0.25">
      <c r="A127" t="s">
        <v>991</v>
      </c>
      <c r="B127" s="22" t="s">
        <v>1315</v>
      </c>
      <c r="C127" s="20">
        <v>1114643405</v>
      </c>
      <c r="D127" t="s">
        <v>1081</v>
      </c>
      <c r="E127" s="25" t="s">
        <v>1214</v>
      </c>
      <c r="F127" t="s">
        <v>12</v>
      </c>
      <c r="G127" t="s">
        <v>205</v>
      </c>
      <c r="H127" s="7" t="s">
        <v>1063</v>
      </c>
      <c r="I127" s="7">
        <v>14</v>
      </c>
      <c r="J127" s="7">
        <v>17</v>
      </c>
      <c r="K127" s="10">
        <f>I127*2.5</f>
        <v>35</v>
      </c>
      <c r="L127" s="10">
        <f>J127*2.5</f>
        <v>42.5</v>
      </c>
      <c r="M127" t="s">
        <v>992</v>
      </c>
      <c r="N127" s="13">
        <v>174.95</v>
      </c>
      <c r="O127" t="s">
        <v>993</v>
      </c>
      <c r="P127" t="s">
        <v>994</v>
      </c>
    </row>
    <row r="128" spans="1:16" ht="16.5" customHeight="1" x14ac:dyDescent="0.25">
      <c r="A128" t="s">
        <v>136</v>
      </c>
      <c r="B128" s="22" t="s">
        <v>1316</v>
      </c>
      <c r="C128" s="20">
        <v>1114646733</v>
      </c>
      <c r="D128" t="s">
        <v>137</v>
      </c>
      <c r="E128" s="25" t="s">
        <v>1299</v>
      </c>
      <c r="F128" t="s">
        <v>12</v>
      </c>
      <c r="G128" t="s">
        <v>13</v>
      </c>
      <c r="H128" s="7" t="s">
        <v>1056</v>
      </c>
      <c r="I128" s="7">
        <v>27</v>
      </c>
      <c r="J128" s="7">
        <v>27</v>
      </c>
      <c r="K128" s="10">
        <f>I128*2.5</f>
        <v>67.5</v>
      </c>
      <c r="L128" s="10">
        <f>J128*2.5</f>
        <v>67.5</v>
      </c>
      <c r="M128" t="s">
        <v>138</v>
      </c>
      <c r="N128" s="13">
        <v>194.95</v>
      </c>
      <c r="O128" t="s">
        <v>139</v>
      </c>
      <c r="P128" t="s">
        <v>140</v>
      </c>
    </row>
    <row r="129" spans="1:16" ht="16.5" customHeight="1" x14ac:dyDescent="0.25">
      <c r="A129" t="s">
        <v>8</v>
      </c>
      <c r="C129" s="20">
        <v>1168810945</v>
      </c>
      <c r="D129" t="s">
        <v>1089</v>
      </c>
      <c r="E129" s="24" t="s">
        <v>1089</v>
      </c>
      <c r="F129" t="s">
        <v>9</v>
      </c>
      <c r="G129" t="s">
        <v>9</v>
      </c>
      <c r="H129" s="7" t="s">
        <v>10</v>
      </c>
      <c r="I129" s="7">
        <v>12</v>
      </c>
      <c r="J129" s="7">
        <v>24</v>
      </c>
      <c r="K129" s="10">
        <f>I129*2.5</f>
        <v>30</v>
      </c>
      <c r="L129" s="10">
        <f>J129*2.5</f>
        <v>60</v>
      </c>
      <c r="M129" t="s">
        <v>10</v>
      </c>
      <c r="N129" s="13">
        <v>5</v>
      </c>
      <c r="O129" t="s">
        <v>11</v>
      </c>
      <c r="P129" t="s">
        <v>1096</v>
      </c>
    </row>
    <row r="130" spans="1:16" ht="16.5" customHeight="1" x14ac:dyDescent="0.25">
      <c r="A130" t="s">
        <v>500</v>
      </c>
      <c r="B130" s="22" t="s">
        <v>1358</v>
      </c>
      <c r="C130" s="20">
        <v>1114645289</v>
      </c>
      <c r="D130" t="s">
        <v>501</v>
      </c>
      <c r="E130" s="25" t="s">
        <v>1301</v>
      </c>
      <c r="F130" t="s">
        <v>12</v>
      </c>
      <c r="G130" t="s">
        <v>13</v>
      </c>
      <c r="H130" s="7" t="s">
        <v>1056</v>
      </c>
      <c r="I130" s="7">
        <v>22</v>
      </c>
      <c r="J130" s="7">
        <v>22</v>
      </c>
      <c r="K130" s="10">
        <f>I130*2.5</f>
        <v>55</v>
      </c>
      <c r="L130" s="10">
        <f>J130*2.5</f>
        <v>55</v>
      </c>
      <c r="M130" t="s">
        <v>502</v>
      </c>
      <c r="N130" s="13">
        <v>227.95</v>
      </c>
      <c r="O130" t="s">
        <v>503</v>
      </c>
      <c r="P130" t="s">
        <v>504</v>
      </c>
    </row>
    <row r="131" spans="1:16" ht="16.5" customHeight="1" x14ac:dyDescent="0.25">
      <c r="A131" t="s">
        <v>675</v>
      </c>
      <c r="B131" s="22" t="s">
        <v>1334</v>
      </c>
      <c r="C131" s="20">
        <v>1114644785</v>
      </c>
      <c r="D131" t="s">
        <v>676</v>
      </c>
      <c r="E131" s="25" t="s">
        <v>1303</v>
      </c>
      <c r="F131" t="s">
        <v>12</v>
      </c>
      <c r="G131" t="s">
        <v>13</v>
      </c>
      <c r="H131" s="7" t="s">
        <v>1056</v>
      </c>
      <c r="I131" s="7">
        <v>25</v>
      </c>
      <c r="J131" s="7">
        <v>25</v>
      </c>
      <c r="K131" s="10">
        <f>I131*2.5</f>
        <v>62.5</v>
      </c>
      <c r="L131" s="10">
        <f>J131*2.5</f>
        <v>62.5</v>
      </c>
      <c r="M131" t="s">
        <v>677</v>
      </c>
      <c r="N131" s="13">
        <v>162.94999999999999</v>
      </c>
      <c r="O131" t="s">
        <v>678</v>
      </c>
      <c r="P131" t="s">
        <v>679</v>
      </c>
    </row>
    <row r="132" spans="1:16" ht="16.5" customHeight="1" x14ac:dyDescent="0.25">
      <c r="A132" t="s">
        <v>620</v>
      </c>
      <c r="B132" s="22" t="s">
        <v>1348</v>
      </c>
      <c r="C132" s="20">
        <v>1114644945</v>
      </c>
      <c r="D132" t="s">
        <v>621</v>
      </c>
      <c r="E132" s="25" t="s">
        <v>1141</v>
      </c>
      <c r="F132" t="s">
        <v>12</v>
      </c>
      <c r="G132" t="s">
        <v>102</v>
      </c>
      <c r="H132" s="7" t="s">
        <v>1056</v>
      </c>
      <c r="I132" s="7">
        <v>28</v>
      </c>
      <c r="J132" s="7">
        <v>51</v>
      </c>
      <c r="K132" s="10">
        <f>I132*2.5</f>
        <v>70</v>
      </c>
      <c r="L132" s="10">
        <f>J132*2.5</f>
        <v>127.5</v>
      </c>
      <c r="M132" t="s">
        <v>622</v>
      </c>
      <c r="N132" s="13">
        <v>134.94999999999999</v>
      </c>
      <c r="O132" t="s">
        <v>623</v>
      </c>
      <c r="P132" t="s">
        <v>624</v>
      </c>
    </row>
    <row r="133" spans="1:16" ht="16.5" customHeight="1" x14ac:dyDescent="0.25">
      <c r="A133" t="s">
        <v>1000</v>
      </c>
      <c r="B133" s="22" t="s">
        <v>1334</v>
      </c>
      <c r="C133" s="20">
        <v>1114643365</v>
      </c>
      <c r="D133" t="s">
        <v>1001</v>
      </c>
      <c r="E133" s="25" t="s">
        <v>1184</v>
      </c>
      <c r="F133" t="s">
        <v>12</v>
      </c>
      <c r="G133" t="s">
        <v>46</v>
      </c>
      <c r="H133" s="7" t="s">
        <v>1058</v>
      </c>
      <c r="I133" s="7">
        <v>12</v>
      </c>
      <c r="J133" s="7">
        <v>14</v>
      </c>
      <c r="K133" s="10">
        <f>I133*2.5</f>
        <v>30</v>
      </c>
      <c r="L133" s="10">
        <f>J133*2.5</f>
        <v>35</v>
      </c>
      <c r="M133" t="s">
        <v>1002</v>
      </c>
      <c r="N133" s="13">
        <v>154.94999999999999</v>
      </c>
      <c r="O133" t="s">
        <v>1003</v>
      </c>
      <c r="P133" t="s">
        <v>1004</v>
      </c>
    </row>
    <row r="134" spans="1:16" ht="16.5" customHeight="1" x14ac:dyDescent="0.25">
      <c r="A134" t="s">
        <v>696</v>
      </c>
      <c r="B134" s="22" t="s">
        <v>1321</v>
      </c>
      <c r="C134" s="20">
        <v>1114644717</v>
      </c>
      <c r="D134" t="s">
        <v>697</v>
      </c>
      <c r="E134" s="25" t="s">
        <v>1251</v>
      </c>
      <c r="F134" t="s">
        <v>12</v>
      </c>
      <c r="G134" t="s">
        <v>22</v>
      </c>
      <c r="H134" s="7" t="s">
        <v>1056</v>
      </c>
      <c r="I134" s="7">
        <v>18</v>
      </c>
      <c r="J134" s="7">
        <v>19</v>
      </c>
      <c r="K134" s="10">
        <f>I134*2.5</f>
        <v>45</v>
      </c>
      <c r="L134" s="10">
        <f>J134*2.5</f>
        <v>47.5</v>
      </c>
      <c r="M134" t="s">
        <v>698</v>
      </c>
      <c r="N134" s="13">
        <v>182.95</v>
      </c>
      <c r="O134" t="s">
        <v>699</v>
      </c>
      <c r="P134" t="s">
        <v>700</v>
      </c>
    </row>
    <row r="135" spans="1:16" ht="16.5" customHeight="1" x14ac:dyDescent="0.25">
      <c r="A135" t="s">
        <v>771</v>
      </c>
      <c r="B135" s="22" t="s">
        <v>1320</v>
      </c>
      <c r="C135" s="20">
        <v>1114644461</v>
      </c>
      <c r="D135" t="s">
        <v>772</v>
      </c>
      <c r="E135" s="24" t="s">
        <v>1126</v>
      </c>
      <c r="F135" t="s">
        <v>12</v>
      </c>
      <c r="G135" t="s">
        <v>303</v>
      </c>
      <c r="H135" s="7" t="s">
        <v>1054</v>
      </c>
      <c r="I135" s="7">
        <v>23</v>
      </c>
      <c r="J135" s="7">
        <v>12</v>
      </c>
      <c r="K135" s="10">
        <f>I135*2.5</f>
        <v>57.5</v>
      </c>
      <c r="L135" s="10">
        <f>J135*2.5</f>
        <v>30</v>
      </c>
      <c r="M135" t="s">
        <v>773</v>
      </c>
      <c r="N135" s="13">
        <v>94.95</v>
      </c>
      <c r="O135" t="s">
        <v>774</v>
      </c>
      <c r="P135" t="s">
        <v>775</v>
      </c>
    </row>
    <row r="136" spans="1:16" ht="16.5" customHeight="1" x14ac:dyDescent="0.25">
      <c r="A136" t="s">
        <v>465</v>
      </c>
      <c r="B136" s="22" t="s">
        <v>1321</v>
      </c>
      <c r="C136" s="20">
        <v>1114645417</v>
      </c>
      <c r="D136" t="s">
        <v>466</v>
      </c>
      <c r="E136" s="24" t="s">
        <v>1125</v>
      </c>
      <c r="F136" t="s">
        <v>12</v>
      </c>
      <c r="G136" t="s">
        <v>303</v>
      </c>
      <c r="H136" s="7" t="s">
        <v>1054</v>
      </c>
      <c r="I136" s="11">
        <v>11</v>
      </c>
      <c r="J136" s="11">
        <v>16</v>
      </c>
      <c r="K136" s="10">
        <f>I136*2.5</f>
        <v>27.5</v>
      </c>
      <c r="L136" s="10">
        <f>J136*2.5</f>
        <v>40</v>
      </c>
      <c r="M136" t="s">
        <v>467</v>
      </c>
      <c r="N136" s="13">
        <v>69.989999999999995</v>
      </c>
      <c r="O136" t="s">
        <v>468</v>
      </c>
      <c r="P136" t="s">
        <v>469</v>
      </c>
    </row>
    <row r="137" spans="1:16" ht="16.5" customHeight="1" x14ac:dyDescent="0.25">
      <c r="A137" t="s">
        <v>224</v>
      </c>
      <c r="B137" s="22" t="s">
        <v>1321</v>
      </c>
      <c r="C137" s="20">
        <v>1114646369</v>
      </c>
      <c r="D137" t="s">
        <v>1073</v>
      </c>
      <c r="E137" s="25" t="s">
        <v>1191</v>
      </c>
      <c r="F137" t="s">
        <v>12</v>
      </c>
      <c r="G137" t="s">
        <v>205</v>
      </c>
      <c r="H137" s="7" t="s">
        <v>1063</v>
      </c>
      <c r="I137" s="7">
        <v>15</v>
      </c>
      <c r="J137" s="7">
        <v>12</v>
      </c>
      <c r="K137" s="10">
        <f>I137*2.5</f>
        <v>37.5</v>
      </c>
      <c r="L137" s="10">
        <f>J137*2.5</f>
        <v>30</v>
      </c>
      <c r="M137" t="s">
        <v>225</v>
      </c>
      <c r="N137" s="13">
        <v>72.95</v>
      </c>
      <c r="O137" t="s">
        <v>226</v>
      </c>
      <c r="P137" t="s">
        <v>227</v>
      </c>
    </row>
    <row r="138" spans="1:16" ht="16.5" customHeight="1" x14ac:dyDescent="0.25">
      <c r="A138" t="s">
        <v>55</v>
      </c>
      <c r="B138" s="22" t="s">
        <v>1334</v>
      </c>
      <c r="C138" s="20">
        <v>1114647109</v>
      </c>
      <c r="D138" t="s">
        <v>56</v>
      </c>
      <c r="E138" s="25" t="s">
        <v>1159</v>
      </c>
      <c r="F138" t="s">
        <v>12</v>
      </c>
      <c r="G138" t="s">
        <v>46</v>
      </c>
      <c r="H138" s="7" t="s">
        <v>1058</v>
      </c>
      <c r="I138" s="7">
        <v>19</v>
      </c>
      <c r="J138" s="7">
        <v>22</v>
      </c>
      <c r="K138" s="10">
        <f>I138*2.5</f>
        <v>47.5</v>
      </c>
      <c r="L138" s="10">
        <f>J138*2.5</f>
        <v>55</v>
      </c>
      <c r="M138" t="s">
        <v>57</v>
      </c>
      <c r="N138" s="13">
        <v>194.95</v>
      </c>
      <c r="O138" t="s">
        <v>58</v>
      </c>
      <c r="P138" t="s">
        <v>59</v>
      </c>
    </row>
    <row r="139" spans="1:16" ht="16.5" customHeight="1" x14ac:dyDescent="0.25">
      <c r="A139" t="s">
        <v>665</v>
      </c>
      <c r="B139" s="22" t="s">
        <v>1335</v>
      </c>
      <c r="C139" s="20">
        <v>1114644849</v>
      </c>
      <c r="D139" t="s">
        <v>666</v>
      </c>
      <c r="E139" s="25" t="s">
        <v>1289</v>
      </c>
      <c r="F139" t="s">
        <v>12</v>
      </c>
      <c r="G139" t="s">
        <v>17</v>
      </c>
      <c r="H139" s="7" t="s">
        <v>1056</v>
      </c>
      <c r="I139" s="7">
        <v>27</v>
      </c>
      <c r="J139" s="7">
        <v>42</v>
      </c>
      <c r="K139" s="10">
        <f>I139*2.5</f>
        <v>67.5</v>
      </c>
      <c r="L139" s="10">
        <f>J139*2.5</f>
        <v>105</v>
      </c>
      <c r="M139" t="s">
        <v>667</v>
      </c>
      <c r="N139" s="13">
        <v>179.99</v>
      </c>
      <c r="O139" t="s">
        <v>668</v>
      </c>
      <c r="P139" t="s">
        <v>669</v>
      </c>
    </row>
    <row r="140" spans="1:16" ht="16.5" customHeight="1" x14ac:dyDescent="0.25">
      <c r="A140" t="s">
        <v>550</v>
      </c>
      <c r="B140" s="22" t="s">
        <v>1359</v>
      </c>
      <c r="C140" s="20">
        <v>1114645177</v>
      </c>
      <c r="D140" t="s">
        <v>551</v>
      </c>
      <c r="E140" s="25" t="s">
        <v>1277</v>
      </c>
      <c r="F140" t="s">
        <v>12</v>
      </c>
      <c r="G140" t="s">
        <v>17</v>
      </c>
      <c r="H140" s="7" t="s">
        <v>1056</v>
      </c>
      <c r="I140" s="7">
        <v>26</v>
      </c>
      <c r="J140" s="7">
        <v>51</v>
      </c>
      <c r="K140" s="10">
        <f>I140*2.5</f>
        <v>65</v>
      </c>
      <c r="L140" s="10">
        <f>J140*2.5</f>
        <v>127.5</v>
      </c>
      <c r="M140" t="s">
        <v>552</v>
      </c>
      <c r="N140" s="13">
        <v>197.95</v>
      </c>
      <c r="O140" t="s">
        <v>553</v>
      </c>
      <c r="P140" t="s">
        <v>554</v>
      </c>
    </row>
    <row r="141" spans="1:16" ht="16.5" customHeight="1" x14ac:dyDescent="0.25">
      <c r="A141" t="s">
        <v>228</v>
      </c>
      <c r="B141" s="22" t="s">
        <v>1353</v>
      </c>
      <c r="C141" s="20">
        <v>1114646349</v>
      </c>
      <c r="D141" s="1" t="s">
        <v>229</v>
      </c>
      <c r="E141" s="26" t="s">
        <v>1192</v>
      </c>
      <c r="F141" t="s">
        <v>12</v>
      </c>
      <c r="G141" t="s">
        <v>205</v>
      </c>
      <c r="H141" s="7" t="s">
        <v>1063</v>
      </c>
      <c r="I141" s="7">
        <v>16</v>
      </c>
      <c r="J141" s="7">
        <v>16</v>
      </c>
      <c r="K141" s="10">
        <f>I141*2.5</f>
        <v>40</v>
      </c>
      <c r="L141" s="10">
        <f>J141*2.5</f>
        <v>40</v>
      </c>
      <c r="M141" t="s">
        <v>230</v>
      </c>
      <c r="N141" s="13">
        <v>69.95</v>
      </c>
      <c r="O141" t="s">
        <v>231</v>
      </c>
      <c r="P141" t="s">
        <v>232</v>
      </c>
    </row>
    <row r="142" spans="1:16" ht="16.5" customHeight="1" x14ac:dyDescent="0.25">
      <c r="A142" t="s">
        <v>172</v>
      </c>
      <c r="B142" s="22" t="s">
        <v>1321</v>
      </c>
      <c r="C142" s="20">
        <v>1114646633</v>
      </c>
      <c r="D142" t="s">
        <v>173</v>
      </c>
      <c r="E142" s="25" t="s">
        <v>1265</v>
      </c>
      <c r="F142" t="s">
        <v>12</v>
      </c>
      <c r="G142" t="s">
        <v>17</v>
      </c>
      <c r="H142" s="7" t="s">
        <v>1056</v>
      </c>
      <c r="I142" s="7">
        <v>27</v>
      </c>
      <c r="J142" s="7">
        <v>48</v>
      </c>
      <c r="K142" s="10">
        <f>I142*2.5</f>
        <v>67.5</v>
      </c>
      <c r="L142" s="10">
        <f>J142*2.5</f>
        <v>120</v>
      </c>
      <c r="M142" t="s">
        <v>174</v>
      </c>
      <c r="N142" s="13">
        <v>99.95</v>
      </c>
      <c r="O142" t="s">
        <v>175</v>
      </c>
      <c r="P142" t="s">
        <v>176</v>
      </c>
    </row>
    <row r="143" spans="1:16" ht="16.5" customHeight="1" x14ac:dyDescent="0.25">
      <c r="A143" t="s">
        <v>430</v>
      </c>
      <c r="B143" s="22" t="s">
        <v>1325</v>
      </c>
      <c r="C143" s="20">
        <v>1114645553</v>
      </c>
      <c r="D143" t="s">
        <v>431</v>
      </c>
      <c r="E143" s="25" t="s">
        <v>1274</v>
      </c>
      <c r="F143" t="s">
        <v>12</v>
      </c>
      <c r="G143" t="s">
        <v>17</v>
      </c>
      <c r="H143" s="7" t="s">
        <v>1056</v>
      </c>
      <c r="I143" s="7">
        <v>25</v>
      </c>
      <c r="J143" s="7">
        <v>36</v>
      </c>
      <c r="K143" s="10">
        <f>I143*2.5</f>
        <v>62.5</v>
      </c>
      <c r="L143" s="10">
        <f>J143*2.5</f>
        <v>90</v>
      </c>
      <c r="M143" t="s">
        <v>432</v>
      </c>
      <c r="N143" s="13">
        <v>179.99</v>
      </c>
      <c r="O143" t="s">
        <v>433</v>
      </c>
      <c r="P143" t="s">
        <v>434</v>
      </c>
    </row>
    <row r="144" spans="1:16" ht="16.5" customHeight="1" x14ac:dyDescent="0.25">
      <c r="A144" t="s">
        <v>392</v>
      </c>
      <c r="B144" s="22" t="s">
        <v>1325</v>
      </c>
      <c r="C144" s="20">
        <v>1114645701</v>
      </c>
      <c r="D144" t="s">
        <v>393</v>
      </c>
      <c r="E144" s="25" t="s">
        <v>1223</v>
      </c>
      <c r="F144" t="s">
        <v>12</v>
      </c>
      <c r="G144" t="s">
        <v>41</v>
      </c>
      <c r="H144" s="7" t="s">
        <v>1059</v>
      </c>
      <c r="I144" s="7">
        <v>31</v>
      </c>
      <c r="J144" s="7">
        <v>35</v>
      </c>
      <c r="K144" s="10">
        <f>I144*2.5</f>
        <v>77.5</v>
      </c>
      <c r="L144" s="10">
        <f>J144*2.5</f>
        <v>87.5</v>
      </c>
      <c r="M144" t="s">
        <v>394</v>
      </c>
      <c r="N144" s="13">
        <v>154.99</v>
      </c>
      <c r="O144" t="s">
        <v>395</v>
      </c>
      <c r="P144" t="s">
        <v>396</v>
      </c>
    </row>
    <row r="145" spans="1:16" ht="16.5" customHeight="1" x14ac:dyDescent="0.25">
      <c r="A145" t="s">
        <v>680</v>
      </c>
      <c r="B145" s="22" t="s">
        <v>1325</v>
      </c>
      <c r="C145" s="20">
        <v>1114644777</v>
      </c>
      <c r="D145" t="s">
        <v>681</v>
      </c>
      <c r="E145" s="25" t="s">
        <v>1304</v>
      </c>
      <c r="F145" t="s">
        <v>12</v>
      </c>
      <c r="G145" t="s">
        <v>13</v>
      </c>
      <c r="H145" s="7" t="s">
        <v>1056</v>
      </c>
      <c r="I145" s="7">
        <v>22</v>
      </c>
      <c r="J145" s="7">
        <v>22</v>
      </c>
      <c r="K145" s="10">
        <f>I145*2.5</f>
        <v>55</v>
      </c>
      <c r="L145" s="10">
        <f>J145*2.5</f>
        <v>55</v>
      </c>
      <c r="M145" t="s">
        <v>682</v>
      </c>
      <c r="N145" s="13">
        <v>254.95</v>
      </c>
      <c r="O145" t="s">
        <v>683</v>
      </c>
      <c r="P145" t="s">
        <v>684</v>
      </c>
    </row>
    <row r="146" spans="1:16" ht="16.5" customHeight="1" x14ac:dyDescent="0.25">
      <c r="A146" t="s">
        <v>294</v>
      </c>
      <c r="B146" s="22" t="s">
        <v>1338</v>
      </c>
      <c r="C146" s="20">
        <v>1114646161</v>
      </c>
      <c r="D146" t="s">
        <v>1072</v>
      </c>
      <c r="E146" s="24" t="s">
        <v>1128</v>
      </c>
      <c r="F146" t="s">
        <v>12</v>
      </c>
      <c r="G146" t="s">
        <v>286</v>
      </c>
      <c r="H146" s="7" t="s">
        <v>1055</v>
      </c>
      <c r="I146" s="7">
        <v>29</v>
      </c>
      <c r="J146" s="7">
        <v>26</v>
      </c>
      <c r="K146" s="10">
        <f>I146*2.5</f>
        <v>72.5</v>
      </c>
      <c r="L146" s="10">
        <f>J146*2.5</f>
        <v>65</v>
      </c>
      <c r="M146" t="s">
        <v>295</v>
      </c>
      <c r="N146" s="13">
        <v>119.95</v>
      </c>
      <c r="O146" t="s">
        <v>296</v>
      </c>
      <c r="P146" t="s">
        <v>297</v>
      </c>
    </row>
    <row r="147" spans="1:16" ht="16.5" customHeight="1" x14ac:dyDescent="0.25">
      <c r="A147" t="s">
        <v>162</v>
      </c>
      <c r="B147" s="22" t="s">
        <v>1331</v>
      </c>
      <c r="C147" s="20">
        <v>1114646649</v>
      </c>
      <c r="D147" t="s">
        <v>163</v>
      </c>
      <c r="E147" s="25" t="s">
        <v>1263</v>
      </c>
      <c r="F147" t="s">
        <v>12</v>
      </c>
      <c r="G147" t="s">
        <v>17</v>
      </c>
      <c r="H147" s="7" t="s">
        <v>1056</v>
      </c>
      <c r="I147" s="7">
        <v>30</v>
      </c>
      <c r="J147" s="7">
        <v>45</v>
      </c>
      <c r="K147" s="10">
        <f>I147*2.5</f>
        <v>75</v>
      </c>
      <c r="L147" s="10">
        <f>J147*2.5</f>
        <v>112.5</v>
      </c>
      <c r="M147" t="s">
        <v>164</v>
      </c>
      <c r="N147" s="13">
        <v>104.95</v>
      </c>
      <c r="O147" t="s">
        <v>165</v>
      </c>
      <c r="P147" t="s">
        <v>166</v>
      </c>
    </row>
    <row r="148" spans="1:16" ht="16.5" customHeight="1" x14ac:dyDescent="0.25">
      <c r="A148" t="s">
        <v>746</v>
      </c>
      <c r="B148" s="22" t="s">
        <v>1325</v>
      </c>
      <c r="C148" s="20">
        <v>1114644541</v>
      </c>
      <c r="D148" t="s">
        <v>747</v>
      </c>
      <c r="E148" s="24" t="s">
        <v>1112</v>
      </c>
      <c r="F148" t="s">
        <v>12</v>
      </c>
      <c r="G148" t="s">
        <v>324</v>
      </c>
      <c r="H148" s="7" t="s">
        <v>1054</v>
      </c>
      <c r="I148" s="7">
        <v>43</v>
      </c>
      <c r="J148" s="7">
        <v>29</v>
      </c>
      <c r="K148" s="10">
        <f>I148*2.5</f>
        <v>107.5</v>
      </c>
      <c r="L148" s="10">
        <f>J148*2.5</f>
        <v>72.5</v>
      </c>
      <c r="M148" t="s">
        <v>748</v>
      </c>
      <c r="N148" s="13">
        <v>304.99</v>
      </c>
      <c r="O148" t="s">
        <v>749</v>
      </c>
      <c r="P148" t="s">
        <v>750</v>
      </c>
    </row>
    <row r="149" spans="1:16" ht="16.5" customHeight="1" x14ac:dyDescent="0.25">
      <c r="A149" t="s">
        <v>964</v>
      </c>
      <c r="B149" s="22" t="s">
        <v>1322</v>
      </c>
      <c r="C149" s="20">
        <v>1114643513</v>
      </c>
      <c r="D149" t="s">
        <v>965</v>
      </c>
      <c r="E149" s="25" t="s">
        <v>1208</v>
      </c>
      <c r="F149" t="s">
        <v>12</v>
      </c>
      <c r="G149" t="s">
        <v>205</v>
      </c>
      <c r="H149" s="7" t="s">
        <v>1063</v>
      </c>
      <c r="I149" s="7">
        <v>27</v>
      </c>
      <c r="J149" s="7">
        <v>40</v>
      </c>
      <c r="K149" s="10">
        <f>I149*2.5</f>
        <v>67.5</v>
      </c>
      <c r="L149" s="10">
        <f>J149*2.5</f>
        <v>100</v>
      </c>
      <c r="M149" t="s">
        <v>966</v>
      </c>
      <c r="N149" s="13">
        <v>69.95</v>
      </c>
      <c r="O149" t="s">
        <v>967</v>
      </c>
      <c r="P149" t="s">
        <v>968</v>
      </c>
    </row>
    <row r="150" spans="1:16" ht="16.5" customHeight="1" x14ac:dyDescent="0.25">
      <c r="A150" t="s">
        <v>969</v>
      </c>
      <c r="B150" s="22" t="s">
        <v>1322</v>
      </c>
      <c r="C150" s="20">
        <v>1114643485</v>
      </c>
      <c r="D150" s="1" t="s">
        <v>970</v>
      </c>
      <c r="E150" s="26" t="s">
        <v>1209</v>
      </c>
      <c r="F150" t="s">
        <v>12</v>
      </c>
      <c r="G150" t="s">
        <v>205</v>
      </c>
      <c r="H150" s="7" t="s">
        <v>1063</v>
      </c>
      <c r="I150" s="7">
        <v>32</v>
      </c>
      <c r="J150" s="7">
        <v>37</v>
      </c>
      <c r="K150" s="10">
        <f>I150*2.5</f>
        <v>80</v>
      </c>
      <c r="L150" s="10">
        <f>J150*2.5</f>
        <v>92.5</v>
      </c>
      <c r="M150" t="s">
        <v>971</v>
      </c>
      <c r="N150" s="13">
        <v>59.95</v>
      </c>
      <c r="O150" t="s">
        <v>972</v>
      </c>
      <c r="P150" t="s">
        <v>973</v>
      </c>
    </row>
    <row r="151" spans="1:16" ht="16.5" customHeight="1" x14ac:dyDescent="0.25">
      <c r="A151" t="s">
        <v>974</v>
      </c>
      <c r="B151" s="22" t="s">
        <v>1322</v>
      </c>
      <c r="C151" s="20">
        <v>1114643461</v>
      </c>
      <c r="D151" t="s">
        <v>975</v>
      </c>
      <c r="E151" s="25" t="s">
        <v>1210</v>
      </c>
      <c r="F151" t="s">
        <v>12</v>
      </c>
      <c r="G151" t="s">
        <v>205</v>
      </c>
      <c r="H151" s="7" t="s">
        <v>1063</v>
      </c>
      <c r="I151" s="7">
        <v>22</v>
      </c>
      <c r="J151" s="7">
        <v>30</v>
      </c>
      <c r="K151" s="10">
        <f>I151*2.5</f>
        <v>55</v>
      </c>
      <c r="L151" s="10">
        <f>J151*2.5</f>
        <v>75</v>
      </c>
      <c r="M151" t="s">
        <v>976</v>
      </c>
      <c r="N151" s="13">
        <v>44.95</v>
      </c>
      <c r="O151" t="s">
        <v>977</v>
      </c>
      <c r="P151" t="s">
        <v>978</v>
      </c>
    </row>
    <row r="152" spans="1:16" ht="16.5" customHeight="1" x14ac:dyDescent="0.25">
      <c r="A152" t="s">
        <v>916</v>
      </c>
      <c r="B152" s="22" t="s">
        <v>1324</v>
      </c>
      <c r="C152" s="20">
        <v>1114643781</v>
      </c>
      <c r="D152" t="s">
        <v>917</v>
      </c>
      <c r="E152" s="25" t="s">
        <v>1201</v>
      </c>
      <c r="F152" t="s">
        <v>12</v>
      </c>
      <c r="G152" t="s">
        <v>205</v>
      </c>
      <c r="H152" s="7" t="s">
        <v>1063</v>
      </c>
      <c r="I152" s="7">
        <v>13</v>
      </c>
      <c r="J152" s="7">
        <v>11</v>
      </c>
      <c r="K152" s="10">
        <f>I152*2.5</f>
        <v>32.5</v>
      </c>
      <c r="L152" s="10">
        <f>J152*2.5</f>
        <v>27.5</v>
      </c>
      <c r="M152" t="s">
        <v>918</v>
      </c>
      <c r="N152" s="13">
        <v>64.989999999999995</v>
      </c>
      <c r="O152" t="s">
        <v>919</v>
      </c>
      <c r="P152" t="s">
        <v>920</v>
      </c>
    </row>
    <row r="153" spans="1:16" ht="16.5" customHeight="1" x14ac:dyDescent="0.25">
      <c r="A153" t="s">
        <v>44</v>
      </c>
      <c r="B153" s="22" t="s">
        <v>1321</v>
      </c>
      <c r="C153" s="20">
        <v>1114647145</v>
      </c>
      <c r="D153" t="s">
        <v>45</v>
      </c>
      <c r="E153" s="25" t="s">
        <v>1157</v>
      </c>
      <c r="F153" t="s">
        <v>12</v>
      </c>
      <c r="G153" t="s">
        <v>46</v>
      </c>
      <c r="H153" s="7" t="s">
        <v>1058</v>
      </c>
      <c r="I153" s="7">
        <v>16</v>
      </c>
      <c r="J153" s="7">
        <v>16</v>
      </c>
      <c r="K153" s="10">
        <f>I153*2.5</f>
        <v>40</v>
      </c>
      <c r="L153" s="10">
        <f>J153*2.5</f>
        <v>40</v>
      </c>
      <c r="M153" t="s">
        <v>47</v>
      </c>
      <c r="N153" s="13">
        <v>194.95</v>
      </c>
      <c r="O153" t="s">
        <v>48</v>
      </c>
      <c r="P153" t="s">
        <v>49</v>
      </c>
    </row>
    <row r="154" spans="1:16" ht="16.5" customHeight="1" x14ac:dyDescent="0.25">
      <c r="A154" t="s">
        <v>243</v>
      </c>
      <c r="B154" s="22" t="s">
        <v>1360</v>
      </c>
      <c r="C154" s="20">
        <v>1114646317</v>
      </c>
      <c r="D154" t="s">
        <v>244</v>
      </c>
      <c r="E154" s="25" t="s">
        <v>1195</v>
      </c>
      <c r="F154" t="s">
        <v>12</v>
      </c>
      <c r="G154" t="s">
        <v>205</v>
      </c>
      <c r="H154" s="7" t="s">
        <v>1063</v>
      </c>
      <c r="I154" s="7">
        <v>12</v>
      </c>
      <c r="J154" s="7">
        <v>13</v>
      </c>
      <c r="K154" s="10">
        <f>I154*2.5</f>
        <v>30</v>
      </c>
      <c r="L154" s="10">
        <f>J154*2.5</f>
        <v>32.5</v>
      </c>
      <c r="M154" t="s">
        <v>245</v>
      </c>
      <c r="N154" s="13">
        <v>62.95</v>
      </c>
      <c r="O154" t="s">
        <v>246</v>
      </c>
      <c r="P154" t="s">
        <v>247</v>
      </c>
    </row>
    <row r="155" spans="1:16" ht="16.5" customHeight="1" x14ac:dyDescent="0.25">
      <c r="A155" t="s">
        <v>193</v>
      </c>
      <c r="B155" s="22" t="s">
        <v>1357</v>
      </c>
      <c r="C155" s="20">
        <v>1114646557</v>
      </c>
      <c r="D155" t="s">
        <v>194</v>
      </c>
      <c r="E155" s="25" t="s">
        <v>1219</v>
      </c>
      <c r="F155" t="s">
        <v>12</v>
      </c>
      <c r="G155" t="s">
        <v>41</v>
      </c>
      <c r="H155" s="7" t="s">
        <v>1059</v>
      </c>
      <c r="I155" s="7">
        <v>23</v>
      </c>
      <c r="J155" s="7">
        <v>33</v>
      </c>
      <c r="K155" s="10">
        <f>I155*2.5</f>
        <v>57.5</v>
      </c>
      <c r="L155" s="10">
        <f>J155*2.5</f>
        <v>82.5</v>
      </c>
      <c r="M155" t="s">
        <v>195</v>
      </c>
      <c r="N155" s="13">
        <v>104.95</v>
      </c>
      <c r="O155" t="s">
        <v>196</v>
      </c>
      <c r="P155" t="s">
        <v>197</v>
      </c>
    </row>
    <row r="156" spans="1:16" ht="16.5" customHeight="1" x14ac:dyDescent="0.25">
      <c r="A156" t="s">
        <v>1039</v>
      </c>
      <c r="B156" s="22" t="s">
        <v>1332</v>
      </c>
      <c r="C156" s="20">
        <v>1114643185</v>
      </c>
      <c r="D156" t="s">
        <v>1040</v>
      </c>
      <c r="E156" s="25" t="s">
        <v>1146</v>
      </c>
      <c r="F156" t="s">
        <v>12</v>
      </c>
      <c r="G156" t="s">
        <v>102</v>
      </c>
      <c r="H156" s="7" t="s">
        <v>1056</v>
      </c>
      <c r="I156" s="8">
        <v>28</v>
      </c>
      <c r="J156" s="8">
        <v>35</v>
      </c>
      <c r="K156" s="10">
        <f>I156*2.5</f>
        <v>70</v>
      </c>
      <c r="L156" s="10">
        <f>J156*2.5</f>
        <v>87.5</v>
      </c>
      <c r="M156" t="s">
        <v>1041</v>
      </c>
      <c r="N156" s="13">
        <v>355</v>
      </c>
      <c r="O156" t="s">
        <v>1042</v>
      </c>
      <c r="P156" t="s">
        <v>1043</v>
      </c>
    </row>
    <row r="157" spans="1:16" ht="16.5" customHeight="1" x14ac:dyDescent="0.25">
      <c r="A157" t="s">
        <v>157</v>
      </c>
      <c r="B157" s="22" t="s">
        <v>1334</v>
      </c>
      <c r="C157" s="20">
        <v>1114646665</v>
      </c>
      <c r="D157" t="s">
        <v>158</v>
      </c>
      <c r="E157" s="25" t="s">
        <v>1262</v>
      </c>
      <c r="F157" t="s">
        <v>12</v>
      </c>
      <c r="G157" t="s">
        <v>17</v>
      </c>
      <c r="H157" s="7" t="s">
        <v>1056</v>
      </c>
      <c r="I157" s="7">
        <v>21</v>
      </c>
      <c r="J157" s="7">
        <v>41</v>
      </c>
      <c r="K157" s="10">
        <f>I157*2.5</f>
        <v>52.5</v>
      </c>
      <c r="L157" s="10">
        <f>J157*2.5</f>
        <v>102.5</v>
      </c>
      <c r="M157" t="s">
        <v>159</v>
      </c>
      <c r="N157" s="13">
        <v>139.94999999999999</v>
      </c>
      <c r="O157" t="s">
        <v>160</v>
      </c>
      <c r="P157" t="s">
        <v>161</v>
      </c>
    </row>
    <row r="158" spans="1:16" ht="16.5" customHeight="1" x14ac:dyDescent="0.25">
      <c r="A158" t="s">
        <v>955</v>
      </c>
      <c r="B158" s="22" t="s">
        <v>1324</v>
      </c>
      <c r="C158" s="20">
        <v>1114643541</v>
      </c>
      <c r="D158" t="s">
        <v>1078</v>
      </c>
      <c r="E158" s="25" t="s">
        <v>1206</v>
      </c>
      <c r="F158" t="s">
        <v>12</v>
      </c>
      <c r="G158" t="s">
        <v>205</v>
      </c>
      <c r="H158" s="7" t="s">
        <v>1063</v>
      </c>
      <c r="I158" s="7">
        <v>33</v>
      </c>
      <c r="J158" s="7">
        <v>34</v>
      </c>
      <c r="K158" s="10">
        <f>I158*2.5</f>
        <v>82.5</v>
      </c>
      <c r="L158" s="10">
        <f>J158*2.5</f>
        <v>85</v>
      </c>
      <c r="M158" t="s">
        <v>956</v>
      </c>
      <c r="N158" s="13">
        <v>72.95</v>
      </c>
      <c r="O158" t="s">
        <v>957</v>
      </c>
      <c r="P158" t="s">
        <v>958</v>
      </c>
    </row>
    <row r="159" spans="1:16" ht="16.5" customHeight="1" x14ac:dyDescent="0.25">
      <c r="A159" t="s">
        <v>896</v>
      </c>
      <c r="B159" s="22" t="s">
        <v>1325</v>
      </c>
      <c r="C159" s="20">
        <v>1114643833</v>
      </c>
      <c r="D159" t="s">
        <v>897</v>
      </c>
      <c r="E159" s="24" t="s">
        <v>1135</v>
      </c>
      <c r="F159" t="s">
        <v>12</v>
      </c>
      <c r="G159" t="s">
        <v>286</v>
      </c>
      <c r="H159" s="7" t="s">
        <v>1055</v>
      </c>
      <c r="I159" s="7">
        <v>41</v>
      </c>
      <c r="J159" s="7">
        <v>31</v>
      </c>
      <c r="K159" s="10">
        <f>I159*2.5</f>
        <v>102.5</v>
      </c>
      <c r="L159" s="10">
        <f>J159*2.5</f>
        <v>77.5</v>
      </c>
      <c r="M159" t="s">
        <v>898</v>
      </c>
      <c r="N159" s="13">
        <v>179.95</v>
      </c>
      <c r="O159" t="s">
        <v>899</v>
      </c>
      <c r="P159" t="s">
        <v>900</v>
      </c>
    </row>
    <row r="160" spans="1:16" ht="16.5" customHeight="1" x14ac:dyDescent="0.25">
      <c r="A160" t="s">
        <v>435</v>
      </c>
      <c r="B160" s="22" t="s">
        <v>1332</v>
      </c>
      <c r="C160" s="20">
        <v>1114645541</v>
      </c>
      <c r="D160" t="s">
        <v>436</v>
      </c>
      <c r="E160" s="25" t="s">
        <v>1275</v>
      </c>
      <c r="F160" t="s">
        <v>12</v>
      </c>
      <c r="G160" t="s">
        <v>17</v>
      </c>
      <c r="H160" s="7" t="s">
        <v>1056</v>
      </c>
      <c r="I160" s="7">
        <v>27</v>
      </c>
      <c r="J160" s="7">
        <v>47</v>
      </c>
      <c r="K160" s="10">
        <f>I160*2.5</f>
        <v>67.5</v>
      </c>
      <c r="L160" s="10">
        <f>J160*2.5</f>
        <v>117.5</v>
      </c>
      <c r="M160" t="s">
        <v>437</v>
      </c>
      <c r="N160" s="13">
        <v>154.99</v>
      </c>
      <c r="O160" t="s">
        <v>438</v>
      </c>
      <c r="P160" t="s">
        <v>439</v>
      </c>
    </row>
    <row r="161" spans="1:16" ht="16.5" customHeight="1" x14ac:dyDescent="0.25">
      <c r="A161" t="s">
        <v>640</v>
      </c>
      <c r="B161" s="22" t="s">
        <v>1332</v>
      </c>
      <c r="C161" s="20">
        <v>1114644889</v>
      </c>
      <c r="D161" t="s">
        <v>641</v>
      </c>
      <c r="E161" s="24" t="s">
        <v>1106</v>
      </c>
      <c r="F161" t="s">
        <v>12</v>
      </c>
      <c r="G161" t="s">
        <v>324</v>
      </c>
      <c r="H161" s="7" t="s">
        <v>1054</v>
      </c>
      <c r="I161" s="7">
        <v>39</v>
      </c>
      <c r="J161" s="7">
        <v>21</v>
      </c>
      <c r="K161" s="10">
        <f>I161*2.5</f>
        <v>97.5</v>
      </c>
      <c r="L161" s="10">
        <f>J161*2.5</f>
        <v>52.5</v>
      </c>
      <c r="M161" t="s">
        <v>642</v>
      </c>
      <c r="N161" s="13">
        <v>229.95</v>
      </c>
      <c r="O161" t="s">
        <v>643</v>
      </c>
      <c r="P161" t="s">
        <v>644</v>
      </c>
    </row>
    <row r="162" spans="1:16" ht="16.5" customHeight="1" x14ac:dyDescent="0.25">
      <c r="A162" t="s">
        <v>951</v>
      </c>
      <c r="B162" s="22" t="s">
        <v>1361</v>
      </c>
      <c r="C162" s="20">
        <v>1114643553</v>
      </c>
      <c r="D162" t="s">
        <v>1077</v>
      </c>
      <c r="E162" s="25" t="s">
        <v>1205</v>
      </c>
      <c r="F162" t="s">
        <v>12</v>
      </c>
      <c r="G162" t="s">
        <v>205</v>
      </c>
      <c r="H162" s="7" t="s">
        <v>1063</v>
      </c>
      <c r="I162" s="7">
        <v>23</v>
      </c>
      <c r="J162" s="7">
        <v>18</v>
      </c>
      <c r="K162" s="10">
        <f>I162*2.5</f>
        <v>57.5</v>
      </c>
      <c r="L162" s="10">
        <f>J162*2.5</f>
        <v>45</v>
      </c>
      <c r="M162" t="s">
        <v>952</v>
      </c>
      <c r="N162" s="13">
        <v>77.95</v>
      </c>
      <c r="O162" t="s">
        <v>953</v>
      </c>
      <c r="P162" t="s">
        <v>954</v>
      </c>
    </row>
    <row r="163" spans="1:16" ht="16.5" customHeight="1" x14ac:dyDescent="0.25">
      <c r="A163" t="s">
        <v>382</v>
      </c>
      <c r="B163" s="22" t="s">
        <v>1347</v>
      </c>
      <c r="C163" s="20">
        <v>1114645829</v>
      </c>
      <c r="D163" t="s">
        <v>383</v>
      </c>
      <c r="E163" s="25" t="s">
        <v>1165</v>
      </c>
      <c r="F163" t="s">
        <v>12</v>
      </c>
      <c r="G163" t="s">
        <v>46</v>
      </c>
      <c r="H163" s="7" t="s">
        <v>1058</v>
      </c>
      <c r="I163" s="7">
        <v>18</v>
      </c>
      <c r="J163" s="7">
        <v>29</v>
      </c>
      <c r="K163" s="10">
        <f>I163*2.5</f>
        <v>45</v>
      </c>
      <c r="L163" s="10">
        <f>J163*2.5</f>
        <v>72.5</v>
      </c>
      <c r="M163" t="s">
        <v>384</v>
      </c>
      <c r="N163" s="13">
        <v>105</v>
      </c>
      <c r="O163" t="s">
        <v>385</v>
      </c>
      <c r="P163" t="s">
        <v>386</v>
      </c>
    </row>
    <row r="164" spans="1:16" ht="16.5" customHeight="1" x14ac:dyDescent="0.25">
      <c r="A164" t="s">
        <v>510</v>
      </c>
      <c r="B164" s="22" t="s">
        <v>1362</v>
      </c>
      <c r="C164" s="20">
        <v>1114645265</v>
      </c>
      <c r="D164" t="s">
        <v>511</v>
      </c>
      <c r="E164" s="24" t="s">
        <v>1131</v>
      </c>
      <c r="F164" t="s">
        <v>12</v>
      </c>
      <c r="G164" t="s">
        <v>286</v>
      </c>
      <c r="H164" s="7" t="s">
        <v>1055</v>
      </c>
      <c r="I164" s="7">
        <v>27</v>
      </c>
      <c r="J164" s="7">
        <v>17</v>
      </c>
      <c r="K164" s="10">
        <f>I164*2.5</f>
        <v>67.5</v>
      </c>
      <c r="L164" s="10">
        <f>J164*2.5</f>
        <v>42.5</v>
      </c>
      <c r="M164" t="s">
        <v>512</v>
      </c>
      <c r="N164" s="13">
        <v>254.99</v>
      </c>
      <c r="O164" t="s">
        <v>513</v>
      </c>
      <c r="P164" t="s">
        <v>514</v>
      </c>
    </row>
    <row r="165" spans="1:16" ht="16.5" customHeight="1" x14ac:dyDescent="0.25">
      <c r="A165" t="s">
        <v>233</v>
      </c>
      <c r="B165" s="22" t="s">
        <v>1321</v>
      </c>
      <c r="C165" s="20">
        <v>1114646337</v>
      </c>
      <c r="D165" s="1" t="s">
        <v>234</v>
      </c>
      <c r="E165" s="26" t="s">
        <v>1193</v>
      </c>
      <c r="F165" t="s">
        <v>12</v>
      </c>
      <c r="G165" t="s">
        <v>205</v>
      </c>
      <c r="H165" s="7" t="s">
        <v>1063</v>
      </c>
      <c r="I165" s="7">
        <v>15</v>
      </c>
      <c r="J165" s="7">
        <v>12</v>
      </c>
      <c r="K165" s="10">
        <f>I165*2.5</f>
        <v>37.5</v>
      </c>
      <c r="L165" s="10">
        <f>J165*2.5</f>
        <v>30</v>
      </c>
      <c r="M165" t="s">
        <v>235</v>
      </c>
      <c r="N165" s="13">
        <v>67.95</v>
      </c>
      <c r="O165" t="s">
        <v>236</v>
      </c>
      <c r="P165" t="s">
        <v>237</v>
      </c>
    </row>
    <row r="166" spans="1:16" ht="16.5" customHeight="1" x14ac:dyDescent="0.25">
      <c r="A166" t="s">
        <v>1020</v>
      </c>
      <c r="B166" s="22" t="s">
        <v>1320</v>
      </c>
      <c r="C166" s="20">
        <v>1114643277</v>
      </c>
      <c r="D166" t="s">
        <v>1021</v>
      </c>
      <c r="E166" s="25" t="s">
        <v>1255</v>
      </c>
      <c r="F166" t="s">
        <v>12</v>
      </c>
      <c r="G166" t="s">
        <v>22</v>
      </c>
      <c r="H166" s="7" t="s">
        <v>1056</v>
      </c>
      <c r="I166" s="8">
        <v>32</v>
      </c>
      <c r="J166" s="8">
        <v>32</v>
      </c>
      <c r="K166" s="10">
        <f>I166*2.5</f>
        <v>80</v>
      </c>
      <c r="L166" s="10">
        <f>J166*2.5</f>
        <v>80</v>
      </c>
      <c r="M166" t="s">
        <v>1022</v>
      </c>
      <c r="N166" s="13">
        <v>600</v>
      </c>
      <c r="O166" t="s">
        <v>1023</v>
      </c>
      <c r="P166" t="s">
        <v>1024</v>
      </c>
    </row>
    <row r="167" spans="1:16" ht="16.5" customHeight="1" x14ac:dyDescent="0.25">
      <c r="A167" t="s">
        <v>387</v>
      </c>
      <c r="B167" s="22" t="s">
        <v>1348</v>
      </c>
      <c r="C167" s="20">
        <v>1114645821</v>
      </c>
      <c r="D167" t="s">
        <v>388</v>
      </c>
      <c r="E167" s="25" t="s">
        <v>1273</v>
      </c>
      <c r="F167" t="s">
        <v>12</v>
      </c>
      <c r="G167" t="s">
        <v>17</v>
      </c>
      <c r="H167" s="7" t="s">
        <v>1056</v>
      </c>
      <c r="I167" s="7">
        <v>23</v>
      </c>
      <c r="J167" s="7">
        <v>46</v>
      </c>
      <c r="K167" s="10">
        <f>I167*2.5</f>
        <v>57.5</v>
      </c>
      <c r="L167" s="10">
        <f>J167*2.5</f>
        <v>115</v>
      </c>
      <c r="M167" t="s">
        <v>389</v>
      </c>
      <c r="N167" s="13">
        <v>229.99</v>
      </c>
      <c r="O167" t="s">
        <v>390</v>
      </c>
      <c r="P167" t="s">
        <v>391</v>
      </c>
    </row>
    <row r="168" spans="1:16" ht="16.5" customHeight="1" x14ac:dyDescent="0.25">
      <c r="A168" t="s">
        <v>475</v>
      </c>
      <c r="B168" s="22" t="s">
        <v>1344</v>
      </c>
      <c r="C168" s="20">
        <v>1114645385</v>
      </c>
      <c r="D168" t="s">
        <v>476</v>
      </c>
      <c r="E168" s="25" t="s">
        <v>1227</v>
      </c>
      <c r="F168" t="s">
        <v>12</v>
      </c>
      <c r="G168" t="s">
        <v>41</v>
      </c>
      <c r="H168" s="7" t="s">
        <v>1059</v>
      </c>
      <c r="I168" s="7">
        <v>20</v>
      </c>
      <c r="J168" s="7">
        <v>20</v>
      </c>
      <c r="K168" s="10">
        <f>I168*2.5</f>
        <v>50</v>
      </c>
      <c r="L168" s="10">
        <f>J168*2.5</f>
        <v>50</v>
      </c>
      <c r="M168" t="s">
        <v>477</v>
      </c>
      <c r="N168" s="13">
        <v>84.99</v>
      </c>
      <c r="O168" t="s">
        <v>478</v>
      </c>
      <c r="P168" t="s">
        <v>479</v>
      </c>
    </row>
    <row r="169" spans="1:16" ht="16.5" customHeight="1" x14ac:dyDescent="0.25">
      <c r="A169" t="s">
        <v>565</v>
      </c>
      <c r="B169" s="22" t="s">
        <v>1357</v>
      </c>
      <c r="C169" s="20">
        <v>1114645141</v>
      </c>
      <c r="D169" t="s">
        <v>566</v>
      </c>
      <c r="E169" s="25" t="s">
        <v>1280</v>
      </c>
      <c r="F169" t="s">
        <v>12</v>
      </c>
      <c r="G169" t="s">
        <v>17</v>
      </c>
      <c r="H169" s="7" t="s">
        <v>1056</v>
      </c>
      <c r="I169" s="7">
        <v>38</v>
      </c>
      <c r="J169" s="7">
        <v>43</v>
      </c>
      <c r="K169" s="10">
        <f>I169*2.5</f>
        <v>95</v>
      </c>
      <c r="L169" s="10">
        <f>J169*2.5</f>
        <v>107.5</v>
      </c>
      <c r="M169" t="s">
        <v>567</v>
      </c>
      <c r="N169" s="13">
        <v>129.94999999999999</v>
      </c>
      <c r="O169" t="s">
        <v>568</v>
      </c>
      <c r="P169" t="s">
        <v>569</v>
      </c>
    </row>
    <row r="170" spans="1:16" ht="16.5" customHeight="1" x14ac:dyDescent="0.25">
      <c r="A170" t="s">
        <v>50</v>
      </c>
      <c r="B170" s="22" t="s">
        <v>1334</v>
      </c>
      <c r="C170" s="20">
        <v>1114647125</v>
      </c>
      <c r="D170" t="s">
        <v>51</v>
      </c>
      <c r="E170" s="25" t="s">
        <v>1158</v>
      </c>
      <c r="F170" t="s">
        <v>12</v>
      </c>
      <c r="G170" t="s">
        <v>46</v>
      </c>
      <c r="H170" s="7" t="s">
        <v>1058</v>
      </c>
      <c r="I170" s="7">
        <v>24</v>
      </c>
      <c r="J170" s="7">
        <v>25</v>
      </c>
      <c r="K170" s="10">
        <f>I170*2.5</f>
        <v>60</v>
      </c>
      <c r="L170" s="10">
        <f>J170*2.5</f>
        <v>62.5</v>
      </c>
      <c r="M170" t="s">
        <v>52</v>
      </c>
      <c r="N170" s="13">
        <v>204.95</v>
      </c>
      <c r="O170" t="s">
        <v>53</v>
      </c>
      <c r="P170" t="s">
        <v>54</v>
      </c>
    </row>
    <row r="171" spans="1:16" ht="16.5" customHeight="1" x14ac:dyDescent="0.25">
      <c r="A171" t="s">
        <v>911</v>
      </c>
      <c r="B171" s="22" t="s">
        <v>1363</v>
      </c>
      <c r="C171" s="20">
        <v>1114643793</v>
      </c>
      <c r="D171" t="s">
        <v>912</v>
      </c>
      <c r="E171" s="25" t="s">
        <v>1152</v>
      </c>
      <c r="F171" t="s">
        <v>12</v>
      </c>
      <c r="G171" t="s">
        <v>184</v>
      </c>
      <c r="H171" s="7" t="s">
        <v>1057</v>
      </c>
      <c r="I171" s="7">
        <v>16</v>
      </c>
      <c r="J171" s="7">
        <v>14</v>
      </c>
      <c r="K171" s="10">
        <f>I171*2.5</f>
        <v>40</v>
      </c>
      <c r="L171" s="10">
        <f>J171*2.5</f>
        <v>35</v>
      </c>
      <c r="M171" t="s">
        <v>913</v>
      </c>
      <c r="N171" s="13">
        <v>69.989999999999995</v>
      </c>
      <c r="O171" t="s">
        <v>914</v>
      </c>
      <c r="P171" t="s">
        <v>915</v>
      </c>
    </row>
    <row r="172" spans="1:16" ht="16.5" customHeight="1" x14ac:dyDescent="0.25">
      <c r="A172" t="s">
        <v>1005</v>
      </c>
      <c r="B172" s="22" t="s">
        <v>1325</v>
      </c>
      <c r="C172" s="20">
        <v>1114643349</v>
      </c>
      <c r="D172" t="s">
        <v>1006</v>
      </c>
      <c r="E172" s="25" t="s">
        <v>1254</v>
      </c>
      <c r="F172" t="s">
        <v>12</v>
      </c>
      <c r="G172" t="s">
        <v>22</v>
      </c>
      <c r="H172" s="7" t="s">
        <v>1056</v>
      </c>
      <c r="I172" s="8">
        <v>24</v>
      </c>
      <c r="J172" s="8">
        <v>24</v>
      </c>
      <c r="K172" s="10">
        <f>I172*2.5</f>
        <v>60</v>
      </c>
      <c r="L172" s="10">
        <f>J172*2.5</f>
        <v>60</v>
      </c>
      <c r="M172" t="s">
        <v>1007</v>
      </c>
      <c r="N172" s="13">
        <v>305</v>
      </c>
      <c r="O172" t="s">
        <v>1008</v>
      </c>
      <c r="P172" t="s">
        <v>1009</v>
      </c>
    </row>
    <row r="173" spans="1:16" ht="16.5" customHeight="1" x14ac:dyDescent="0.25">
      <c r="A173" t="s">
        <v>995</v>
      </c>
      <c r="B173" s="22" t="s">
        <v>1320</v>
      </c>
      <c r="C173" s="20">
        <v>1114643381</v>
      </c>
      <c r="D173" t="s">
        <v>996</v>
      </c>
      <c r="E173" s="25" t="s">
        <v>1215</v>
      </c>
      <c r="F173" t="s">
        <v>12</v>
      </c>
      <c r="G173" t="s">
        <v>205</v>
      </c>
      <c r="H173" s="7" t="s">
        <v>1063</v>
      </c>
      <c r="I173" s="7">
        <v>30</v>
      </c>
      <c r="J173" s="7">
        <v>26</v>
      </c>
      <c r="K173" s="10">
        <f>I173*2.5</f>
        <v>75</v>
      </c>
      <c r="L173" s="10">
        <f>J173*2.5</f>
        <v>65</v>
      </c>
      <c r="M173" t="s">
        <v>997</v>
      </c>
      <c r="N173" s="13">
        <v>79.95</v>
      </c>
      <c r="O173" t="s">
        <v>998</v>
      </c>
      <c r="P173" t="s">
        <v>999</v>
      </c>
    </row>
    <row r="174" spans="1:16" ht="16.5" customHeight="1" x14ac:dyDescent="0.25">
      <c r="A174" t="s">
        <v>946</v>
      </c>
      <c r="B174" s="22" t="s">
        <v>1357</v>
      </c>
      <c r="C174" s="20">
        <v>1114643617</v>
      </c>
      <c r="D174" t="s">
        <v>947</v>
      </c>
      <c r="E174" s="25" t="s">
        <v>1183</v>
      </c>
      <c r="F174" t="s">
        <v>12</v>
      </c>
      <c r="G174" t="s">
        <v>46</v>
      </c>
      <c r="H174" s="7" t="s">
        <v>1058</v>
      </c>
      <c r="I174" s="7">
        <v>16</v>
      </c>
      <c r="J174" s="7">
        <v>21</v>
      </c>
      <c r="K174" s="10">
        <f>I174*2.5</f>
        <v>40</v>
      </c>
      <c r="L174" s="10">
        <f>J174*2.5</f>
        <v>52.5</v>
      </c>
      <c r="M174" t="s">
        <v>948</v>
      </c>
      <c r="N174" s="13">
        <v>79.95</v>
      </c>
      <c r="O174" t="s">
        <v>949</v>
      </c>
      <c r="P174" t="s">
        <v>950</v>
      </c>
    </row>
    <row r="175" spans="1:16" ht="16.5" customHeight="1" x14ac:dyDescent="0.25">
      <c r="A175" t="s">
        <v>786</v>
      </c>
      <c r="B175" s="22" t="s">
        <v>1325</v>
      </c>
      <c r="C175" s="20">
        <v>1114644417</v>
      </c>
      <c r="D175" t="s">
        <v>787</v>
      </c>
      <c r="E175" s="25" t="s">
        <v>1177</v>
      </c>
      <c r="F175" t="s">
        <v>12</v>
      </c>
      <c r="G175" t="s">
        <v>46</v>
      </c>
      <c r="H175" s="7" t="s">
        <v>1058</v>
      </c>
      <c r="I175" s="7">
        <v>15</v>
      </c>
      <c r="J175" s="7">
        <v>14</v>
      </c>
      <c r="K175" s="10">
        <f>I175*2.5</f>
        <v>37.5</v>
      </c>
      <c r="L175" s="10">
        <f>J175*2.5</f>
        <v>35</v>
      </c>
      <c r="M175" t="s">
        <v>788</v>
      </c>
      <c r="N175" s="13">
        <v>79.95</v>
      </c>
      <c r="O175" t="s">
        <v>789</v>
      </c>
      <c r="P175" t="s">
        <v>790</v>
      </c>
    </row>
    <row r="176" spans="1:16" ht="16.5" customHeight="1" x14ac:dyDescent="0.25">
      <c r="A176" t="s">
        <v>265</v>
      </c>
      <c r="B176" s="22" t="s">
        <v>1348</v>
      </c>
      <c r="C176" s="20">
        <v>1114646249</v>
      </c>
      <c r="D176" t="s">
        <v>266</v>
      </c>
      <c r="E176" s="25" t="s">
        <v>1185</v>
      </c>
      <c r="F176" t="s">
        <v>12</v>
      </c>
      <c r="G176" t="s">
        <v>267</v>
      </c>
      <c r="H176" s="7" t="s">
        <v>1059</v>
      </c>
      <c r="I176" s="7">
        <v>20</v>
      </c>
      <c r="J176" s="7">
        <v>25</v>
      </c>
      <c r="K176" s="10">
        <f>I176*2.5</f>
        <v>50</v>
      </c>
      <c r="L176" s="10">
        <f>J176*2.5</f>
        <v>62.5</v>
      </c>
      <c r="M176" t="s">
        <v>268</v>
      </c>
      <c r="N176" s="13">
        <v>99.99</v>
      </c>
      <c r="O176" t="s">
        <v>269</v>
      </c>
      <c r="P176" t="s">
        <v>270</v>
      </c>
    </row>
    <row r="177" spans="1:16" ht="16.5" customHeight="1" x14ac:dyDescent="0.25">
      <c r="A177" t="s">
        <v>861</v>
      </c>
      <c r="B177" s="22" t="s">
        <v>1321</v>
      </c>
      <c r="C177" s="20">
        <v>1114644089</v>
      </c>
      <c r="D177" t="s">
        <v>862</v>
      </c>
      <c r="E177" s="25" t="s">
        <v>1180</v>
      </c>
      <c r="F177" t="s">
        <v>12</v>
      </c>
      <c r="G177" t="s">
        <v>46</v>
      </c>
      <c r="H177" s="7" t="s">
        <v>1058</v>
      </c>
      <c r="I177" s="7">
        <v>19</v>
      </c>
      <c r="J177" s="7">
        <v>19</v>
      </c>
      <c r="K177" s="10">
        <f>I177*2.5</f>
        <v>47.5</v>
      </c>
      <c r="L177" s="10">
        <f>J177*2.5</f>
        <v>47.5</v>
      </c>
      <c r="M177" t="s">
        <v>863</v>
      </c>
      <c r="N177" s="13">
        <v>144.99</v>
      </c>
      <c r="O177" t="s">
        <v>864</v>
      </c>
      <c r="P177" t="s">
        <v>865</v>
      </c>
    </row>
    <row r="178" spans="1:16" ht="16.5" customHeight="1" x14ac:dyDescent="0.25">
      <c r="A178" t="s">
        <v>791</v>
      </c>
      <c r="B178" s="22" t="s">
        <v>1325</v>
      </c>
      <c r="C178" s="20">
        <v>1114644361</v>
      </c>
      <c r="D178" t="s">
        <v>792</v>
      </c>
      <c r="E178" s="25" t="s">
        <v>1178</v>
      </c>
      <c r="F178" t="s">
        <v>12</v>
      </c>
      <c r="G178" t="s">
        <v>46</v>
      </c>
      <c r="H178" s="7" t="s">
        <v>1058</v>
      </c>
      <c r="I178" s="7">
        <v>16</v>
      </c>
      <c r="J178" s="7">
        <v>22</v>
      </c>
      <c r="K178" s="10">
        <f>I178*2.5</f>
        <v>40</v>
      </c>
      <c r="L178" s="10">
        <f>J178*2.5</f>
        <v>55</v>
      </c>
      <c r="M178" t="s">
        <v>793</v>
      </c>
      <c r="N178" s="13">
        <v>99.99</v>
      </c>
      <c r="O178" t="s">
        <v>794</v>
      </c>
      <c r="P178" t="s">
        <v>795</v>
      </c>
    </row>
    <row r="179" spans="1:16" ht="16.5" customHeight="1" x14ac:dyDescent="0.25">
      <c r="A179" t="s">
        <v>407</v>
      </c>
      <c r="B179" s="22" t="s">
        <v>1325</v>
      </c>
      <c r="C179" s="20">
        <v>1114645633</v>
      </c>
      <c r="D179" t="s">
        <v>408</v>
      </c>
      <c r="E179" s="25" t="s">
        <v>1168</v>
      </c>
      <c r="F179" t="s">
        <v>12</v>
      </c>
      <c r="G179" t="s">
        <v>46</v>
      </c>
      <c r="H179" s="7" t="s">
        <v>1058</v>
      </c>
      <c r="I179" s="7">
        <v>17</v>
      </c>
      <c r="J179" s="7">
        <v>15</v>
      </c>
      <c r="K179" s="10">
        <f>I179*2.5</f>
        <v>42.5</v>
      </c>
      <c r="L179" s="10">
        <f>J179*2.5</f>
        <v>37.5</v>
      </c>
      <c r="M179" t="s">
        <v>409</v>
      </c>
      <c r="N179" s="13">
        <v>129.99</v>
      </c>
      <c r="O179" t="s">
        <v>410</v>
      </c>
      <c r="P179" t="s">
        <v>411</v>
      </c>
    </row>
    <row r="180" spans="1:16" ht="16.5" customHeight="1" x14ac:dyDescent="0.25">
      <c r="A180" t="s">
        <v>851</v>
      </c>
      <c r="B180" s="22" t="s">
        <v>1334</v>
      </c>
      <c r="C180" s="20">
        <v>1114644125</v>
      </c>
      <c r="D180" t="s">
        <v>852</v>
      </c>
      <c r="E180" s="25" t="s">
        <v>1179</v>
      </c>
      <c r="F180" t="s">
        <v>12</v>
      </c>
      <c r="G180" t="s">
        <v>46</v>
      </c>
      <c r="H180" s="7" t="s">
        <v>1058</v>
      </c>
      <c r="I180" s="7">
        <v>18</v>
      </c>
      <c r="J180" s="7">
        <v>28</v>
      </c>
      <c r="K180" s="10">
        <f>I180*2.5</f>
        <v>45</v>
      </c>
      <c r="L180" s="10">
        <f>J180*2.5</f>
        <v>70</v>
      </c>
      <c r="M180" t="s">
        <v>853</v>
      </c>
      <c r="N180" s="13">
        <v>99.99</v>
      </c>
      <c r="O180" t="s">
        <v>854</v>
      </c>
      <c r="P180" t="s">
        <v>855</v>
      </c>
    </row>
    <row r="181" spans="1:16" ht="16.5" customHeight="1" x14ac:dyDescent="0.25">
      <c r="A181" t="s">
        <v>219</v>
      </c>
      <c r="B181" s="22" t="s">
        <v>1321</v>
      </c>
      <c r="C181" s="20">
        <v>1114646397</v>
      </c>
      <c r="D181" t="s">
        <v>220</v>
      </c>
      <c r="E181" s="25" t="s">
        <v>1190</v>
      </c>
      <c r="F181" t="s">
        <v>12</v>
      </c>
      <c r="G181" t="s">
        <v>205</v>
      </c>
      <c r="H181" s="7" t="s">
        <v>1063</v>
      </c>
      <c r="I181" s="7">
        <v>13</v>
      </c>
      <c r="J181" s="7">
        <v>23</v>
      </c>
      <c r="K181" s="10">
        <f>I181*2.5</f>
        <v>32.5</v>
      </c>
      <c r="L181" s="10">
        <f>J181*2.5</f>
        <v>57.5</v>
      </c>
      <c r="M181" t="s">
        <v>221</v>
      </c>
      <c r="N181" s="13">
        <v>79.95</v>
      </c>
      <c r="O181" t="s">
        <v>222</v>
      </c>
      <c r="P181" t="s">
        <v>223</v>
      </c>
    </row>
    <row r="182" spans="1:16" ht="16.5" customHeight="1" x14ac:dyDescent="0.25">
      <c r="A182" t="s">
        <v>402</v>
      </c>
      <c r="B182" s="22" t="s">
        <v>1325</v>
      </c>
      <c r="C182" s="20">
        <v>1114645657</v>
      </c>
      <c r="D182" t="s">
        <v>403</v>
      </c>
      <c r="E182" s="25" t="s">
        <v>1167</v>
      </c>
      <c r="F182" t="s">
        <v>12</v>
      </c>
      <c r="G182" t="s">
        <v>46</v>
      </c>
      <c r="H182" s="7" t="s">
        <v>1058</v>
      </c>
      <c r="I182" s="7">
        <v>22</v>
      </c>
      <c r="J182" s="7">
        <v>25</v>
      </c>
      <c r="K182" s="10">
        <f>I182*2.5</f>
        <v>55</v>
      </c>
      <c r="L182" s="10">
        <f>J182*2.5</f>
        <v>62.5</v>
      </c>
      <c r="M182" t="s">
        <v>404</v>
      </c>
      <c r="N182" s="13">
        <v>179.99</v>
      </c>
      <c r="O182" t="s">
        <v>405</v>
      </c>
      <c r="P182" t="s">
        <v>406</v>
      </c>
    </row>
    <row r="183" spans="1:16" ht="16.5" customHeight="1" x14ac:dyDescent="0.25">
      <c r="A183" t="s">
        <v>866</v>
      </c>
      <c r="B183" s="22" t="s">
        <v>1364</v>
      </c>
      <c r="C183" s="20">
        <v>1114644069</v>
      </c>
      <c r="D183" t="s">
        <v>867</v>
      </c>
      <c r="E183" s="25" t="s">
        <v>1236</v>
      </c>
      <c r="F183" t="s">
        <v>12</v>
      </c>
      <c r="G183" t="s">
        <v>41</v>
      </c>
      <c r="H183" s="7" t="s">
        <v>1059</v>
      </c>
      <c r="I183" s="7">
        <v>26</v>
      </c>
      <c r="J183" s="7">
        <v>30</v>
      </c>
      <c r="K183" s="10">
        <f>I183*2.5</f>
        <v>65</v>
      </c>
      <c r="L183" s="10">
        <f>J183*2.5</f>
        <v>75</v>
      </c>
      <c r="M183" t="s">
        <v>868</v>
      </c>
      <c r="N183" s="13">
        <v>194.99</v>
      </c>
      <c r="O183" t="s">
        <v>869</v>
      </c>
      <c r="P183" t="s">
        <v>870</v>
      </c>
    </row>
    <row r="184" spans="1:16" ht="16.5" customHeight="1" x14ac:dyDescent="0.25">
      <c r="A184" t="s">
        <v>214</v>
      </c>
      <c r="B184" s="22" t="s">
        <v>1325</v>
      </c>
      <c r="C184" s="20">
        <v>1114646413</v>
      </c>
      <c r="D184" t="s">
        <v>215</v>
      </c>
      <c r="E184" s="25" t="s">
        <v>1189</v>
      </c>
      <c r="F184" t="s">
        <v>12</v>
      </c>
      <c r="G184" t="s">
        <v>205</v>
      </c>
      <c r="H184" s="7" t="s">
        <v>1063</v>
      </c>
      <c r="I184" s="7">
        <v>12</v>
      </c>
      <c r="J184" s="7">
        <v>26</v>
      </c>
      <c r="K184" s="10">
        <f>I184*2.5</f>
        <v>30</v>
      </c>
      <c r="L184" s="10">
        <f>J184*2.5</f>
        <v>65</v>
      </c>
      <c r="M184" t="s">
        <v>216</v>
      </c>
      <c r="N184" s="13">
        <v>119.95</v>
      </c>
      <c r="O184" t="s">
        <v>217</v>
      </c>
      <c r="P184" t="s">
        <v>218</v>
      </c>
    </row>
    <row r="185" spans="1:16" ht="16.5" customHeight="1" x14ac:dyDescent="0.25">
      <c r="A185" t="s">
        <v>941</v>
      </c>
      <c r="B185" s="22" t="s">
        <v>1325</v>
      </c>
      <c r="C185" s="20">
        <v>1114643657</v>
      </c>
      <c r="D185" t="s">
        <v>942</v>
      </c>
      <c r="E185" s="25" t="s">
        <v>1182</v>
      </c>
      <c r="F185" t="s">
        <v>12</v>
      </c>
      <c r="G185" t="s">
        <v>46</v>
      </c>
      <c r="H185" s="7" t="s">
        <v>1058</v>
      </c>
      <c r="I185" s="7">
        <v>14</v>
      </c>
      <c r="J185" s="7">
        <v>11</v>
      </c>
      <c r="K185" s="10">
        <f>I185*2.5</f>
        <v>35</v>
      </c>
      <c r="L185" s="10">
        <f>J185*2.5</f>
        <v>27.5</v>
      </c>
      <c r="M185" t="s">
        <v>943</v>
      </c>
      <c r="N185" s="13">
        <v>119.95</v>
      </c>
      <c r="O185" t="s">
        <v>944</v>
      </c>
      <c r="P185" t="s">
        <v>945</v>
      </c>
    </row>
    <row r="186" spans="1:16" ht="16.5" customHeight="1" x14ac:dyDescent="0.25">
      <c r="A186" t="s">
        <v>276</v>
      </c>
      <c r="B186" s="22" t="s">
        <v>1334</v>
      </c>
      <c r="C186" s="20">
        <v>1114646213</v>
      </c>
      <c r="D186" t="s">
        <v>277</v>
      </c>
      <c r="E186" s="25" t="s">
        <v>1162</v>
      </c>
      <c r="F186" t="s">
        <v>12</v>
      </c>
      <c r="G186" t="s">
        <v>46</v>
      </c>
      <c r="H186" s="7" t="s">
        <v>1058</v>
      </c>
      <c r="I186" s="7">
        <v>13</v>
      </c>
      <c r="J186" s="7">
        <v>14</v>
      </c>
      <c r="K186" s="10">
        <f>I186*2.5</f>
        <v>32.5</v>
      </c>
      <c r="L186" s="10">
        <f>J186*2.5</f>
        <v>35</v>
      </c>
      <c r="M186" t="s">
        <v>278</v>
      </c>
      <c r="N186" s="13">
        <v>104.95</v>
      </c>
      <c r="O186" t="s">
        <v>279</v>
      </c>
      <c r="P186" t="s">
        <v>280</v>
      </c>
    </row>
    <row r="187" spans="1:16" ht="16.5" customHeight="1" x14ac:dyDescent="0.25">
      <c r="A187" t="s">
        <v>856</v>
      </c>
      <c r="B187" s="22" t="s">
        <v>1365</v>
      </c>
      <c r="C187" s="20">
        <v>1114644109</v>
      </c>
      <c r="D187" t="s">
        <v>857</v>
      </c>
      <c r="E187" s="25" t="s">
        <v>1235</v>
      </c>
      <c r="F187" t="s">
        <v>12</v>
      </c>
      <c r="G187" t="s">
        <v>41</v>
      </c>
      <c r="H187" s="7" t="s">
        <v>1059</v>
      </c>
      <c r="I187" s="7">
        <v>23</v>
      </c>
      <c r="J187" s="7">
        <v>23</v>
      </c>
      <c r="K187" s="10">
        <f>I187*2.5</f>
        <v>57.5</v>
      </c>
      <c r="L187" s="10">
        <f>J187*2.5</f>
        <v>57.5</v>
      </c>
      <c r="M187" t="s">
        <v>858</v>
      </c>
      <c r="N187" s="13">
        <v>124.99</v>
      </c>
      <c r="O187" t="s">
        <v>859</v>
      </c>
      <c r="P187" t="s">
        <v>860</v>
      </c>
    </row>
    <row r="188" spans="1:16" ht="16.5" customHeight="1" x14ac:dyDescent="0.25">
      <c r="A188" t="s">
        <v>761</v>
      </c>
      <c r="B188" s="22" t="s">
        <v>1320</v>
      </c>
      <c r="C188" s="20">
        <v>1114644493</v>
      </c>
      <c r="D188" t="s">
        <v>762</v>
      </c>
      <c r="E188" s="25" t="s">
        <v>1176</v>
      </c>
      <c r="F188" t="s">
        <v>12</v>
      </c>
      <c r="G188" t="s">
        <v>46</v>
      </c>
      <c r="H188" s="7" t="s">
        <v>1058</v>
      </c>
      <c r="I188" s="7">
        <v>20</v>
      </c>
      <c r="J188" s="7">
        <v>20</v>
      </c>
      <c r="K188" s="10">
        <f>I188*2.5</f>
        <v>50</v>
      </c>
      <c r="L188" s="10">
        <f>J188*2.5</f>
        <v>50</v>
      </c>
      <c r="M188" t="s">
        <v>763</v>
      </c>
      <c r="N188" s="13">
        <v>115</v>
      </c>
      <c r="O188" t="s">
        <v>764</v>
      </c>
      <c r="P188" t="s">
        <v>765</v>
      </c>
    </row>
    <row r="189" spans="1:16" ht="16.5" customHeight="1" x14ac:dyDescent="0.25">
      <c r="A189" t="s">
        <v>836</v>
      </c>
      <c r="B189" s="22" t="s">
        <v>1320</v>
      </c>
      <c r="C189" s="20">
        <v>1114644221</v>
      </c>
      <c r="D189" s="1" t="s">
        <v>837</v>
      </c>
      <c r="E189" s="26" t="s">
        <v>1233</v>
      </c>
      <c r="F189" t="s">
        <v>12</v>
      </c>
      <c r="G189" t="s">
        <v>41</v>
      </c>
      <c r="H189" s="7" t="s">
        <v>1059</v>
      </c>
      <c r="I189" s="7">
        <v>27</v>
      </c>
      <c r="J189" s="7">
        <v>26</v>
      </c>
      <c r="K189" s="10">
        <f>I189*2.5</f>
        <v>67.5</v>
      </c>
      <c r="L189" s="10">
        <f>J189*2.5</f>
        <v>65</v>
      </c>
      <c r="M189" t="s">
        <v>838</v>
      </c>
      <c r="N189" s="13">
        <v>139.94999999999999</v>
      </c>
      <c r="O189" t="s">
        <v>839</v>
      </c>
      <c r="P189" t="s">
        <v>840</v>
      </c>
    </row>
    <row r="190" spans="1:16" ht="16.5" customHeight="1" x14ac:dyDescent="0.25">
      <c r="A190" t="s">
        <v>415</v>
      </c>
      <c r="B190" s="22" t="s">
        <v>1325</v>
      </c>
      <c r="C190" s="20">
        <v>1114645617</v>
      </c>
      <c r="D190" t="s">
        <v>416</v>
      </c>
      <c r="E190" s="25" t="s">
        <v>1169</v>
      </c>
      <c r="F190" t="s">
        <v>12</v>
      </c>
      <c r="G190" t="s">
        <v>46</v>
      </c>
      <c r="H190" s="7" t="s">
        <v>1058</v>
      </c>
      <c r="I190" s="7">
        <v>18</v>
      </c>
      <c r="J190" s="7">
        <v>21</v>
      </c>
      <c r="K190" s="10">
        <f>I190*2.5</f>
        <v>45</v>
      </c>
      <c r="L190" s="10">
        <f>J190*2.5</f>
        <v>52.5</v>
      </c>
      <c r="M190" t="s">
        <v>417</v>
      </c>
      <c r="N190" s="13">
        <v>89.99</v>
      </c>
      <c r="O190" t="s">
        <v>418</v>
      </c>
      <c r="P190" t="s">
        <v>419</v>
      </c>
    </row>
    <row r="191" spans="1:16" ht="16.5" customHeight="1" x14ac:dyDescent="0.25">
      <c r="A191" t="s">
        <v>625</v>
      </c>
      <c r="B191" s="22" t="s">
        <v>1348</v>
      </c>
      <c r="C191" s="20">
        <v>1114644933</v>
      </c>
      <c r="D191" t="s">
        <v>626</v>
      </c>
      <c r="E191" s="25" t="s">
        <v>1228</v>
      </c>
      <c r="F191" t="s">
        <v>12</v>
      </c>
      <c r="G191" t="s">
        <v>41</v>
      </c>
      <c r="H191" s="7" t="s">
        <v>1059</v>
      </c>
      <c r="I191" s="7">
        <v>20</v>
      </c>
      <c r="J191" s="7">
        <v>38</v>
      </c>
      <c r="K191" s="10">
        <f>I191*2.5</f>
        <v>50</v>
      </c>
      <c r="L191" s="10">
        <f>J191*2.5</f>
        <v>95</v>
      </c>
      <c r="M191" t="s">
        <v>627</v>
      </c>
      <c r="N191" s="13">
        <v>129.99</v>
      </c>
      <c r="O191" t="s">
        <v>628</v>
      </c>
      <c r="P191" t="s">
        <v>629</v>
      </c>
    </row>
    <row r="192" spans="1:16" ht="16.5" customHeight="1" x14ac:dyDescent="0.25">
      <c r="A192" t="s">
        <v>39</v>
      </c>
      <c r="B192" s="22" t="s">
        <v>1325</v>
      </c>
      <c r="C192" s="20">
        <v>1114647165</v>
      </c>
      <c r="D192" t="s">
        <v>40</v>
      </c>
      <c r="E192" s="25" t="s">
        <v>1216</v>
      </c>
      <c r="F192" t="s">
        <v>12</v>
      </c>
      <c r="G192" t="s">
        <v>41</v>
      </c>
      <c r="H192" s="7" t="s">
        <v>1059</v>
      </c>
      <c r="I192" s="7">
        <v>24</v>
      </c>
      <c r="J192" s="7">
        <v>26</v>
      </c>
      <c r="K192" s="10">
        <f>I192*2.5</f>
        <v>60</v>
      </c>
      <c r="L192" s="10">
        <f>J192*2.5</f>
        <v>65</v>
      </c>
      <c r="M192" t="s">
        <v>42</v>
      </c>
      <c r="N192" s="13">
        <v>127.95</v>
      </c>
      <c r="O192" t="s">
        <v>43</v>
      </c>
      <c r="P192" s="2" t="str">
        <f>"(display image: "&amp;A192&amp;")"</f>
        <v>(display image: Teleflora's Sincere Serenity)</v>
      </c>
    </row>
    <row r="193" spans="1:16" ht="16.5" customHeight="1" x14ac:dyDescent="0.25">
      <c r="A193" t="s">
        <v>871</v>
      </c>
      <c r="B193" s="22" t="s">
        <v>1331</v>
      </c>
      <c r="C193" s="20">
        <v>1114643981</v>
      </c>
      <c r="D193" t="s">
        <v>872</v>
      </c>
      <c r="E193" s="25" t="s">
        <v>1237</v>
      </c>
      <c r="F193" t="s">
        <v>12</v>
      </c>
      <c r="G193" t="s">
        <v>41</v>
      </c>
      <c r="H193" s="7" t="s">
        <v>1059</v>
      </c>
      <c r="I193" s="7">
        <v>26</v>
      </c>
      <c r="J193" s="7">
        <v>37</v>
      </c>
      <c r="K193" s="10">
        <f>I193*2.5</f>
        <v>65</v>
      </c>
      <c r="L193" s="10">
        <f>J193*2.5</f>
        <v>92.5</v>
      </c>
      <c r="M193" t="s">
        <v>873</v>
      </c>
      <c r="N193" s="13">
        <v>154.99</v>
      </c>
      <c r="O193" t="s">
        <v>874</v>
      </c>
      <c r="P193" t="s">
        <v>875</v>
      </c>
    </row>
    <row r="194" spans="1:16" ht="16.5" customHeight="1" x14ac:dyDescent="0.25">
      <c r="A194" t="s">
        <v>470</v>
      </c>
      <c r="B194" s="22" t="s">
        <v>1321</v>
      </c>
      <c r="C194" s="20">
        <v>1114645393</v>
      </c>
      <c r="D194" t="s">
        <v>471</v>
      </c>
      <c r="E194" s="25" t="s">
        <v>1170</v>
      </c>
      <c r="F194" t="s">
        <v>12</v>
      </c>
      <c r="G194" t="s">
        <v>46</v>
      </c>
      <c r="H194" s="7" t="s">
        <v>1058</v>
      </c>
      <c r="I194" s="7">
        <v>16</v>
      </c>
      <c r="J194" s="7">
        <v>18</v>
      </c>
      <c r="K194" s="10">
        <f>I194*2.5</f>
        <v>40</v>
      </c>
      <c r="L194" s="10">
        <f>J194*2.5</f>
        <v>45</v>
      </c>
      <c r="M194" t="s">
        <v>472</v>
      </c>
      <c r="N194" s="13">
        <v>64.989999999999995</v>
      </c>
      <c r="O194" t="s">
        <v>473</v>
      </c>
      <c r="P194" t="s">
        <v>474</v>
      </c>
    </row>
    <row r="195" spans="1:16" ht="16.5" customHeight="1" x14ac:dyDescent="0.25">
      <c r="A195" t="s">
        <v>801</v>
      </c>
      <c r="B195" s="22" t="s">
        <v>1332</v>
      </c>
      <c r="C195" s="20">
        <v>1114644305</v>
      </c>
      <c r="D195" t="s">
        <v>802</v>
      </c>
      <c r="E195" s="25" t="s">
        <v>1231</v>
      </c>
      <c r="F195" t="s">
        <v>12</v>
      </c>
      <c r="G195" t="s">
        <v>41</v>
      </c>
      <c r="H195" s="7" t="s">
        <v>1059</v>
      </c>
      <c r="I195" s="7">
        <v>24</v>
      </c>
      <c r="J195" s="7">
        <v>34</v>
      </c>
      <c r="K195" s="10">
        <f>I195*2.5</f>
        <v>60</v>
      </c>
      <c r="L195" s="10">
        <f>J195*2.5</f>
        <v>85</v>
      </c>
      <c r="M195" t="s">
        <v>803</v>
      </c>
      <c r="N195" s="13">
        <v>107.95</v>
      </c>
      <c r="O195" t="s">
        <v>804</v>
      </c>
      <c r="P195" t="s">
        <v>805</v>
      </c>
    </row>
    <row r="196" spans="1:16" ht="16.5" customHeight="1" x14ac:dyDescent="0.25">
      <c r="A196" t="s">
        <v>540</v>
      </c>
      <c r="B196" s="22" t="s">
        <v>1353</v>
      </c>
      <c r="C196" s="20">
        <v>1114645193</v>
      </c>
      <c r="D196" t="s">
        <v>541</v>
      </c>
      <c r="E196" s="25" t="s">
        <v>1276</v>
      </c>
      <c r="F196" t="s">
        <v>12</v>
      </c>
      <c r="G196" t="s">
        <v>17</v>
      </c>
      <c r="H196" s="7" t="s">
        <v>1056</v>
      </c>
      <c r="I196" s="7">
        <v>25</v>
      </c>
      <c r="J196" s="7">
        <v>54</v>
      </c>
      <c r="K196" s="10">
        <f>I196*2.5</f>
        <v>62.5</v>
      </c>
      <c r="L196" s="10">
        <f>J196*2.5</f>
        <v>135</v>
      </c>
      <c r="M196" t="s">
        <v>542</v>
      </c>
      <c r="N196" s="13">
        <v>229.95</v>
      </c>
      <c r="O196" t="s">
        <v>543</v>
      </c>
      <c r="P196" t="s">
        <v>544</v>
      </c>
    </row>
    <row r="197" spans="1:16" ht="16.5" customHeight="1" x14ac:dyDescent="0.25">
      <c r="A197" t="s">
        <v>736</v>
      </c>
      <c r="B197" s="22" t="s">
        <v>1334</v>
      </c>
      <c r="C197" s="20">
        <v>1114644589</v>
      </c>
      <c r="D197" t="s">
        <v>737</v>
      </c>
      <c r="E197" s="25" t="s">
        <v>1290</v>
      </c>
      <c r="F197" t="s">
        <v>12</v>
      </c>
      <c r="G197" t="s">
        <v>17</v>
      </c>
      <c r="H197" s="7" t="s">
        <v>1056</v>
      </c>
      <c r="I197" s="7">
        <v>22</v>
      </c>
      <c r="J197" s="7">
        <v>56</v>
      </c>
      <c r="K197" s="10">
        <f>I197*2.5</f>
        <v>55</v>
      </c>
      <c r="L197" s="10">
        <f>J197*2.5</f>
        <v>140</v>
      </c>
      <c r="M197" t="s">
        <v>738</v>
      </c>
      <c r="N197" s="13">
        <v>260.5</v>
      </c>
      <c r="O197" t="s">
        <v>739</v>
      </c>
      <c r="P197" t="s">
        <v>740</v>
      </c>
    </row>
    <row r="198" spans="1:16" ht="16.5" customHeight="1" x14ac:dyDescent="0.25">
      <c r="A198" t="s">
        <v>987</v>
      </c>
      <c r="B198" s="22" t="s">
        <v>1324</v>
      </c>
      <c r="C198" s="20">
        <v>1114643417</v>
      </c>
      <c r="D198" t="s">
        <v>1082</v>
      </c>
      <c r="E198" s="25" t="s">
        <v>1213</v>
      </c>
      <c r="F198" t="s">
        <v>12</v>
      </c>
      <c r="G198" t="s">
        <v>205</v>
      </c>
      <c r="H198" s="7" t="s">
        <v>1063</v>
      </c>
      <c r="I198" s="7">
        <v>37</v>
      </c>
      <c r="J198" s="7">
        <v>60</v>
      </c>
      <c r="K198" s="10">
        <f>I198*2.5</f>
        <v>92.5</v>
      </c>
      <c r="L198" s="10">
        <f>J198*2.5</f>
        <v>150</v>
      </c>
      <c r="M198" t="s">
        <v>988</v>
      </c>
      <c r="N198" s="13">
        <v>104.95</v>
      </c>
      <c r="O198" t="s">
        <v>989</v>
      </c>
      <c r="P198" t="s">
        <v>990</v>
      </c>
    </row>
    <row r="199" spans="1:16" ht="16.5" customHeight="1" x14ac:dyDescent="0.25">
      <c r="A199" t="s">
        <v>309</v>
      </c>
      <c r="B199" s="22" t="s">
        <v>1348</v>
      </c>
      <c r="C199" s="20">
        <v>1114646105</v>
      </c>
      <c r="D199" t="s">
        <v>1086</v>
      </c>
      <c r="E199" s="25" t="s">
        <v>1270</v>
      </c>
      <c r="F199" t="s">
        <v>12</v>
      </c>
      <c r="G199" t="s">
        <v>17</v>
      </c>
      <c r="H199" s="7" t="s">
        <v>1056</v>
      </c>
      <c r="I199" s="7">
        <v>23</v>
      </c>
      <c r="J199" s="7">
        <v>34</v>
      </c>
      <c r="K199" s="10">
        <f>I199*2.5</f>
        <v>57.5</v>
      </c>
      <c r="L199" s="10">
        <f>J199*2.5</f>
        <v>85</v>
      </c>
      <c r="M199" t="s">
        <v>310</v>
      </c>
      <c r="N199" s="13">
        <v>124.95</v>
      </c>
      <c r="O199" t="s">
        <v>311</v>
      </c>
      <c r="P199" t="s">
        <v>312</v>
      </c>
    </row>
    <row r="200" spans="1:16" ht="16.5" customHeight="1" x14ac:dyDescent="0.25">
      <c r="A200" t="s">
        <v>70</v>
      </c>
      <c r="B200" s="22" t="s">
        <v>1366</v>
      </c>
      <c r="C200" s="20">
        <v>1114647029</v>
      </c>
      <c r="D200" t="s">
        <v>71</v>
      </c>
      <c r="E200" s="25" t="s">
        <v>1258</v>
      </c>
      <c r="F200" t="s">
        <v>12</v>
      </c>
      <c r="G200" t="s">
        <v>17</v>
      </c>
      <c r="H200" s="7" t="s">
        <v>1056</v>
      </c>
      <c r="I200" s="7">
        <v>24</v>
      </c>
      <c r="J200" s="7">
        <v>53</v>
      </c>
      <c r="K200" s="10">
        <f>I200*2.5</f>
        <v>60</v>
      </c>
      <c r="L200" s="10">
        <f>J200*2.5</f>
        <v>132.5</v>
      </c>
      <c r="M200" t="s">
        <v>72</v>
      </c>
      <c r="N200" s="13">
        <v>129.94999999999999</v>
      </c>
      <c r="O200" t="s">
        <v>73</v>
      </c>
      <c r="P200" t="s">
        <v>74</v>
      </c>
    </row>
    <row r="201" spans="1:16" ht="16.5" customHeight="1" x14ac:dyDescent="0.25">
      <c r="A201" t="s">
        <v>610</v>
      </c>
      <c r="B201" s="22" t="s">
        <v>1347</v>
      </c>
      <c r="C201" s="20">
        <v>1114645001</v>
      </c>
      <c r="D201" t="s">
        <v>611</v>
      </c>
      <c r="E201" s="25" t="s">
        <v>1288</v>
      </c>
      <c r="F201" t="s">
        <v>12</v>
      </c>
      <c r="G201" t="s">
        <v>17</v>
      </c>
      <c r="H201" s="7" t="s">
        <v>1056</v>
      </c>
      <c r="I201" s="7">
        <v>29</v>
      </c>
      <c r="J201" s="7">
        <v>46</v>
      </c>
      <c r="K201" s="10">
        <f>I201*2.5</f>
        <v>72.5</v>
      </c>
      <c r="L201" s="10">
        <f>J201*2.5</f>
        <v>115</v>
      </c>
      <c r="M201" t="s">
        <v>612</v>
      </c>
      <c r="N201" s="13">
        <v>197.95</v>
      </c>
      <c r="O201" t="s">
        <v>613</v>
      </c>
      <c r="P201" t="s">
        <v>614</v>
      </c>
    </row>
    <row r="202" spans="1:16" ht="16.5" customHeight="1" x14ac:dyDescent="0.25">
      <c r="A202" t="s">
        <v>455</v>
      </c>
      <c r="B202" s="22" t="s">
        <v>1332</v>
      </c>
      <c r="C202" s="20">
        <v>1114645445</v>
      </c>
      <c r="D202" t="s">
        <v>456</v>
      </c>
      <c r="E202" s="25" t="s">
        <v>1226</v>
      </c>
      <c r="F202" t="s">
        <v>12</v>
      </c>
      <c r="G202" t="s">
        <v>41</v>
      </c>
      <c r="H202" s="7" t="s">
        <v>1059</v>
      </c>
      <c r="I202" s="7">
        <v>22</v>
      </c>
      <c r="J202" s="7">
        <v>23</v>
      </c>
      <c r="K202" s="10">
        <f>I202*2.5</f>
        <v>55</v>
      </c>
      <c r="L202" s="10">
        <f>J202*2.5</f>
        <v>57.5</v>
      </c>
      <c r="M202" t="s">
        <v>457</v>
      </c>
      <c r="N202" s="13">
        <v>125</v>
      </c>
      <c r="O202" t="s">
        <v>458</v>
      </c>
      <c r="P202" t="s">
        <v>459</v>
      </c>
    </row>
    <row r="203" spans="1:16" ht="16.5" customHeight="1" x14ac:dyDescent="0.25">
      <c r="A203" t="s">
        <v>876</v>
      </c>
      <c r="B203" s="22" t="s">
        <v>1357</v>
      </c>
      <c r="C203" s="20">
        <v>1114643917</v>
      </c>
      <c r="D203" t="s">
        <v>877</v>
      </c>
      <c r="E203" s="25" t="s">
        <v>1238</v>
      </c>
      <c r="F203" t="s">
        <v>12</v>
      </c>
      <c r="G203" t="s">
        <v>41</v>
      </c>
      <c r="H203" s="7" t="s">
        <v>1059</v>
      </c>
      <c r="I203" s="7">
        <v>19</v>
      </c>
      <c r="J203" s="7">
        <v>30</v>
      </c>
      <c r="K203" s="10">
        <f>I203*2.5</f>
        <v>47.5</v>
      </c>
      <c r="L203" s="10">
        <f>J203*2.5</f>
        <v>75</v>
      </c>
      <c r="M203" t="s">
        <v>878</v>
      </c>
      <c r="N203" s="13">
        <v>94.95</v>
      </c>
      <c r="O203" t="s">
        <v>879</v>
      </c>
      <c r="P203" t="s">
        <v>880</v>
      </c>
    </row>
    <row r="204" spans="1:16" ht="16.5" customHeight="1" x14ac:dyDescent="0.25">
      <c r="A204" t="s">
        <v>198</v>
      </c>
      <c r="B204" s="22" t="s">
        <v>1357</v>
      </c>
      <c r="C204" s="20">
        <v>1114646513</v>
      </c>
      <c r="D204" t="s">
        <v>199</v>
      </c>
      <c r="E204" s="25" t="s">
        <v>1220</v>
      </c>
      <c r="F204" t="s">
        <v>12</v>
      </c>
      <c r="G204" t="s">
        <v>41</v>
      </c>
      <c r="H204" s="7" t="s">
        <v>1059</v>
      </c>
      <c r="I204" s="7">
        <v>24</v>
      </c>
      <c r="J204" s="7">
        <v>34</v>
      </c>
      <c r="K204" s="10">
        <f>I204*2.5</f>
        <v>60</v>
      </c>
      <c r="L204" s="10">
        <f>J204*2.5</f>
        <v>85</v>
      </c>
      <c r="M204" t="s">
        <v>200</v>
      </c>
      <c r="N204" s="13">
        <v>79.95</v>
      </c>
      <c r="O204" t="s">
        <v>201</v>
      </c>
      <c r="P204" t="s">
        <v>202</v>
      </c>
    </row>
    <row r="205" spans="1:16" ht="16.5" customHeight="1" x14ac:dyDescent="0.25">
      <c r="A205" t="s">
        <v>377</v>
      </c>
      <c r="B205" s="22" t="s">
        <v>1348</v>
      </c>
      <c r="C205" s="20">
        <v>1114645873</v>
      </c>
      <c r="D205" t="s">
        <v>378</v>
      </c>
      <c r="E205" s="24" t="s">
        <v>1100</v>
      </c>
      <c r="F205" t="s">
        <v>12</v>
      </c>
      <c r="G205" t="s">
        <v>324</v>
      </c>
      <c r="H205" s="7" t="s">
        <v>1054</v>
      </c>
      <c r="I205" s="7">
        <v>50</v>
      </c>
      <c r="J205" s="7">
        <v>18</v>
      </c>
      <c r="K205" s="10">
        <f>I205*2.5</f>
        <v>125</v>
      </c>
      <c r="L205" s="10">
        <f>J205*2.5</f>
        <v>45</v>
      </c>
      <c r="M205" t="s">
        <v>379</v>
      </c>
      <c r="N205" s="13">
        <v>354.99</v>
      </c>
      <c r="O205" t="s">
        <v>380</v>
      </c>
      <c r="P205" t="s">
        <v>381</v>
      </c>
    </row>
    <row r="206" spans="1:16" ht="16.5" customHeight="1" x14ac:dyDescent="0.25">
      <c r="A206" t="s">
        <v>203</v>
      </c>
      <c r="B206" s="22" t="s">
        <v>1324</v>
      </c>
      <c r="C206" s="20">
        <v>1114646453</v>
      </c>
      <c r="D206" t="s">
        <v>204</v>
      </c>
      <c r="E206" s="25" t="s">
        <v>1187</v>
      </c>
      <c r="F206" t="s">
        <v>12</v>
      </c>
      <c r="G206" t="s">
        <v>205</v>
      </c>
      <c r="H206" s="7" t="s">
        <v>1063</v>
      </c>
      <c r="I206" s="7">
        <v>13</v>
      </c>
      <c r="J206" s="7">
        <v>15</v>
      </c>
      <c r="K206" s="10">
        <f>I206*2.5</f>
        <v>32.5</v>
      </c>
      <c r="L206" s="10">
        <f>J206*2.5</f>
        <v>37.5</v>
      </c>
      <c r="M206" t="s">
        <v>206</v>
      </c>
      <c r="N206" s="13">
        <v>59.95</v>
      </c>
      <c r="O206" t="s">
        <v>207</v>
      </c>
      <c r="P206" t="s">
        <v>208</v>
      </c>
    </row>
    <row r="207" spans="1:16" ht="16.5" customHeight="1" x14ac:dyDescent="0.25">
      <c r="A207" t="s">
        <v>177</v>
      </c>
      <c r="B207" s="22" t="s">
        <v>1325</v>
      </c>
      <c r="C207" s="20">
        <v>1114646617</v>
      </c>
      <c r="D207" t="s">
        <v>178</v>
      </c>
      <c r="E207" s="25" t="s">
        <v>1266</v>
      </c>
      <c r="F207" t="s">
        <v>12</v>
      </c>
      <c r="G207" t="s">
        <v>17</v>
      </c>
      <c r="H207" s="7" t="s">
        <v>1056</v>
      </c>
      <c r="I207" s="7">
        <v>32</v>
      </c>
      <c r="J207" s="7">
        <v>48</v>
      </c>
      <c r="K207" s="10">
        <f>I207*2.5</f>
        <v>80</v>
      </c>
      <c r="L207" s="10">
        <f>J207*2.5</f>
        <v>120</v>
      </c>
      <c r="M207" t="s">
        <v>179</v>
      </c>
      <c r="N207" s="13">
        <v>129.94999999999999</v>
      </c>
      <c r="O207" t="s">
        <v>180</v>
      </c>
      <c r="P207" t="s">
        <v>181</v>
      </c>
    </row>
    <row r="208" spans="1:16" ht="16.5" customHeight="1" x14ac:dyDescent="0.25">
      <c r="A208" t="s">
        <v>188</v>
      </c>
      <c r="B208" s="22" t="s">
        <v>1325</v>
      </c>
      <c r="C208" s="20">
        <v>1114646565</v>
      </c>
      <c r="D208" t="s">
        <v>189</v>
      </c>
      <c r="E208" s="25" t="s">
        <v>1148</v>
      </c>
      <c r="F208" t="s">
        <v>12</v>
      </c>
      <c r="G208" t="s">
        <v>184</v>
      </c>
      <c r="H208" s="7" t="s">
        <v>1057</v>
      </c>
      <c r="I208" s="7">
        <v>24</v>
      </c>
      <c r="J208" s="7">
        <v>34</v>
      </c>
      <c r="K208" s="10">
        <f>I208*2.5</f>
        <v>60</v>
      </c>
      <c r="L208" s="10">
        <f>J208*2.5</f>
        <v>85</v>
      </c>
      <c r="M208" t="s">
        <v>190</v>
      </c>
      <c r="N208" s="13">
        <v>69.95</v>
      </c>
      <c r="O208" t="s">
        <v>191</v>
      </c>
      <c r="P208" t="s">
        <v>192</v>
      </c>
    </row>
    <row r="209" spans="1:16" ht="16.5" customHeight="1" x14ac:dyDescent="0.25">
      <c r="A209" t="s">
        <v>306</v>
      </c>
      <c r="B209" s="22" t="s">
        <v>1357</v>
      </c>
      <c r="C209" s="20">
        <v>1114646113</v>
      </c>
      <c r="D209" t="s">
        <v>1069</v>
      </c>
      <c r="E209" s="24" t="s">
        <v>1119</v>
      </c>
      <c r="F209" t="s">
        <v>12</v>
      </c>
      <c r="G209" t="s">
        <v>303</v>
      </c>
      <c r="H209" s="7" t="s">
        <v>1054</v>
      </c>
      <c r="I209" s="7">
        <v>9</v>
      </c>
      <c r="J209" s="7">
        <v>8</v>
      </c>
      <c r="K209" s="10">
        <f>I209*2.5</f>
        <v>22.5</v>
      </c>
      <c r="L209" s="10">
        <f>J209*2.5</f>
        <v>20</v>
      </c>
      <c r="M209" t="s">
        <v>307</v>
      </c>
      <c r="N209" s="13">
        <v>59.95</v>
      </c>
      <c r="O209" t="s">
        <v>308</v>
      </c>
      <c r="P209" s="2" t="str">
        <f>"(display image: "&amp;A209&amp;")"</f>
        <v>(display image: With Affection Nosegay)</v>
      </c>
    </row>
    <row r="210" spans="1:16" ht="16.5" customHeight="1" x14ac:dyDescent="0.25">
      <c r="A210" t="s">
        <v>670</v>
      </c>
      <c r="B210" s="22" t="s">
        <v>1335</v>
      </c>
      <c r="C210" s="20">
        <v>1114644797</v>
      </c>
      <c r="D210" t="s">
        <v>671</v>
      </c>
      <c r="E210" s="25" t="s">
        <v>1229</v>
      </c>
      <c r="F210" t="s">
        <v>12</v>
      </c>
      <c r="G210" t="s">
        <v>41</v>
      </c>
      <c r="H210" s="7" t="s">
        <v>1059</v>
      </c>
      <c r="I210" s="7">
        <v>31</v>
      </c>
      <c r="J210" s="7">
        <v>35</v>
      </c>
      <c r="K210" s="10">
        <f>I210*2.5</f>
        <v>77.5</v>
      </c>
      <c r="L210" s="10">
        <f>J210*2.5</f>
        <v>87.5</v>
      </c>
      <c r="M210" t="s">
        <v>672</v>
      </c>
      <c r="N210" s="13">
        <v>157.94999999999999</v>
      </c>
      <c r="O210" t="s">
        <v>673</v>
      </c>
      <c r="P210" t="s">
        <v>674</v>
      </c>
    </row>
    <row r="211" spans="1:16" ht="16.5" customHeight="1" x14ac:dyDescent="0.25">
      <c r="A211" t="s">
        <v>515</v>
      </c>
      <c r="B211" s="22" t="s">
        <v>1321</v>
      </c>
      <c r="C211" s="20">
        <v>1114645237</v>
      </c>
      <c r="D211" t="s">
        <v>516</v>
      </c>
      <c r="E211" s="25" t="s">
        <v>1173</v>
      </c>
      <c r="F211" t="s">
        <v>12</v>
      </c>
      <c r="G211" t="s">
        <v>46</v>
      </c>
      <c r="H211" s="7" t="s">
        <v>1058</v>
      </c>
      <c r="I211" s="7">
        <v>16</v>
      </c>
      <c r="J211" s="7">
        <v>17</v>
      </c>
      <c r="K211" s="10">
        <f>I211*2.5</f>
        <v>40</v>
      </c>
      <c r="L211" s="10">
        <f>J211*2.5</f>
        <v>42.5</v>
      </c>
      <c r="M211" t="s">
        <v>517</v>
      </c>
      <c r="N211" s="13">
        <v>130</v>
      </c>
      <c r="O211" t="s">
        <v>518</v>
      </c>
      <c r="P211" t="s">
        <v>519</v>
      </c>
    </row>
    <row r="212" spans="1:16" ht="16.5" customHeight="1" x14ac:dyDescent="0.25">
      <c r="A212" t="s">
        <v>260</v>
      </c>
      <c r="B212" s="22" t="s">
        <v>1353</v>
      </c>
      <c r="C212" s="20">
        <v>1114646265</v>
      </c>
      <c r="D212" t="s">
        <v>261</v>
      </c>
      <c r="E212" s="25" t="s">
        <v>1160</v>
      </c>
      <c r="F212" t="s">
        <v>12</v>
      </c>
      <c r="G212" t="s">
        <v>46</v>
      </c>
      <c r="H212" s="7" t="s">
        <v>1058</v>
      </c>
      <c r="I212" s="7">
        <v>23</v>
      </c>
      <c r="J212" s="7">
        <v>21</v>
      </c>
      <c r="K212" s="10">
        <f>I212*2.5</f>
        <v>57.5</v>
      </c>
      <c r="L212" s="10">
        <f>J212*2.5</f>
        <v>52.5</v>
      </c>
      <c r="M212" t="s">
        <v>262</v>
      </c>
      <c r="N212" s="13">
        <v>197.95</v>
      </c>
      <c r="O212" t="s">
        <v>263</v>
      </c>
      <c r="P212" t="s">
        <v>264</v>
      </c>
    </row>
  </sheetData>
  <sortState ref="A2:O212">
    <sortCondition ref="A2:A21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27"/>
  <sheetViews>
    <sheetView topLeftCell="F22" workbookViewId="0">
      <selection activeCell="F22" sqref="F22"/>
    </sheetView>
  </sheetViews>
  <sheetFormatPr defaultRowHeight="15" x14ac:dyDescent="0.25"/>
  <cols>
    <col min="1" max="1" width="36.140625" bestFit="1" customWidth="1"/>
    <col min="2" max="2" width="21.5703125" style="10" customWidth="1"/>
    <col min="3" max="3" width="22.140625" style="16" bestFit="1" customWidth="1"/>
    <col min="4" max="5" width="9.140625" style="16"/>
    <col min="6" max="6" width="22.28515625" customWidth="1"/>
    <col min="7" max="7" width="84.5703125" style="18" bestFit="1" customWidth="1"/>
  </cols>
  <sheetData>
    <row r="1" spans="1:10" s="4" customFormat="1" ht="16.5" customHeight="1" x14ac:dyDescent="0.25">
      <c r="A1" s="4" t="s">
        <v>0</v>
      </c>
      <c r="B1" s="9" t="s">
        <v>1166</v>
      </c>
      <c r="C1" s="14" t="s">
        <v>2</v>
      </c>
      <c r="D1" s="14" t="s">
        <v>1091</v>
      </c>
      <c r="E1" s="14" t="s">
        <v>1092</v>
      </c>
      <c r="F1" s="4" t="s">
        <v>1090</v>
      </c>
      <c r="G1" s="17" t="s">
        <v>1093</v>
      </c>
      <c r="H1" s="4" t="s">
        <v>1094</v>
      </c>
      <c r="I1" s="4" t="s">
        <v>1095</v>
      </c>
    </row>
    <row r="2" spans="1:10" x14ac:dyDescent="0.25">
      <c r="A2" t="str">
        <f>products_export!A2</f>
        <v>A Fond Farewell Casket Spray</v>
      </c>
      <c r="B2" s="10" t="str">
        <f>products_export!E2</f>
        <v xml:space="preserve">Casket spray of orange roses and lilies and other brilliantly colored floral favorites. </v>
      </c>
      <c r="C2" s="16" t="str">
        <f>products_export!H2</f>
        <v>Casket Sprays</v>
      </c>
      <c r="D2" s="15">
        <f>products_export!K2</f>
        <v>110</v>
      </c>
      <c r="E2" s="15">
        <f>products_export!L2</f>
        <v>62.5</v>
      </c>
      <c r="F2" s="10" t="str">
        <f>products_export!O2</f>
        <v>https://cdn.shopify.com/s/files/1/0790/8529/products/T271-3A.jpeg?v=1425992837</v>
      </c>
      <c r="G2" s="18" t="str">
        <f>products_export!P2</f>
        <v>(display image: A Fond Farewell Casket Spray)</v>
      </c>
      <c r="H2" t="str">
        <f>products_export!M2</f>
        <v>T271-3A</v>
      </c>
      <c r="I2">
        <f>products_export!N2</f>
        <v>279.99</v>
      </c>
      <c r="J2" s="7" t="str">
        <f>"img/flowers/"&amp;Data!H2&amp;".png"</f>
        <v>img/flowers/T271-3A.png</v>
      </c>
    </row>
    <row r="3" spans="1:10" x14ac:dyDescent="0.25">
      <c r="A3" t="str">
        <f>products_export!A3</f>
        <v>A Full Life</v>
      </c>
      <c r="B3" s="10" t="str">
        <f>products_export!E3</f>
        <v xml:space="preserve"> White and purple funeral flowers such as deep purple hydrangea, lavender roses, white spray roses and white waxflower are accented with rich green ivy and variegated pittosporum in a natural basket with a handle.</v>
      </c>
      <c r="C3" s="16" t="str">
        <f>products_export!H3</f>
        <v>Floral Baskets</v>
      </c>
      <c r="D3" s="15">
        <f>products_export!K3</f>
        <v>50</v>
      </c>
      <c r="E3" s="15">
        <f>products_export!L3</f>
        <v>37.5</v>
      </c>
      <c r="F3" s="10" t="str">
        <f>products_export!O3</f>
        <v>https://cdn.shopify.com/s/files/1/0790/8529/products/T211-1A.jpeg?v=1425992688</v>
      </c>
      <c r="G3" s="18" t="str">
        <f>products_export!P3</f>
        <v>(display image: A Full Life)_x000D_A Full Life)</v>
      </c>
      <c r="H3" t="str">
        <f>products_export!M3</f>
        <v>T211-1A</v>
      </c>
      <c r="I3">
        <f>products_export!N3</f>
        <v>102.5</v>
      </c>
      <c r="J3" s="7" t="str">
        <f>"img/flowers/"&amp;Data!H3&amp;".png"</f>
        <v>img/flowers/T211-1A.png</v>
      </c>
    </row>
    <row r="4" spans="1:10" x14ac:dyDescent="0.25">
      <c r="A4" t="str">
        <f>products_export!A4</f>
        <v>A New Sunrise Spray</v>
      </c>
      <c r="B4" s="10" t="str">
        <f>products_export!E4</f>
        <v>A stunning arrangement including orange Asiatic lilies, red gladioli, green carnations, peach hypericum, emerald palm and red ti leaves, accented with assorted greenery.</v>
      </c>
      <c r="C4" s="16" t="str">
        <f>products_export!H4</f>
        <v>Standing Arrangements</v>
      </c>
      <c r="D4" s="15">
        <f>products_export!K4</f>
        <v>77.5</v>
      </c>
      <c r="E4" s="15">
        <f>products_export!L4</f>
        <v>125</v>
      </c>
      <c r="F4" s="10" t="str">
        <f>products_export!O4</f>
        <v>https://cdn.shopify.com/s/files/1/0790/8529/products/T271-2A.jpeg?v=1425992836</v>
      </c>
      <c r="G4" s="18" t="str">
        <f>products_export!P4</f>
        <v>(display image: A New Sunrise Spray)</v>
      </c>
      <c r="H4" t="str">
        <f>products_export!M4</f>
        <v>T271-2A</v>
      </c>
      <c r="I4">
        <f>products_export!N4</f>
        <v>189.99</v>
      </c>
      <c r="J4" s="7" t="str">
        <f>"img/flowers/"&amp;Data!H4&amp;".png"</f>
        <v>img/flowers/T271-2A.png</v>
      </c>
    </row>
    <row r="5" spans="1:10" x14ac:dyDescent="0.25">
      <c r="A5" t="str">
        <f>products_export!A5</f>
        <v>Adoration Casket Spray</v>
      </c>
      <c r="B5" s="10" t="str">
        <f>products_export!E5</f>
        <v>Radiant red carnations and miniature carnations accented by fresh greenery arrive in a lovely spray.</v>
      </c>
      <c r="C5" s="16" t="str">
        <f>products_export!H5</f>
        <v>Casket Sprays</v>
      </c>
      <c r="D5" s="15">
        <f>products_export!K5</f>
        <v>92.5</v>
      </c>
      <c r="E5" s="15">
        <f>products_export!L5</f>
        <v>67.5</v>
      </c>
      <c r="F5" s="10" t="str">
        <f>products_export!O5</f>
        <v>https://cdn.shopify.com/s/files/1/0790/8529/products/T242-2A.jpeg?v=1425992756</v>
      </c>
      <c r="G5" s="18" t="str">
        <f>products_export!P5</f>
        <v>(display image: Adoration Casket Spray)</v>
      </c>
      <c r="H5" t="str">
        <f>products_export!M5</f>
        <v>T242-2A</v>
      </c>
      <c r="I5">
        <f>products_export!N5</f>
        <v>184.95</v>
      </c>
      <c r="J5" s="7" t="str">
        <f>"img/flowers/"&amp;Data!H5&amp;".png"</f>
        <v>img/flowers/T242-2A.png</v>
      </c>
    </row>
    <row r="6" spans="1:10" x14ac:dyDescent="0.25">
      <c r="A6" t="str">
        <f>products_export!A6</f>
        <v>Adoring Heart</v>
      </c>
      <c r="B6" s="10" t="str">
        <f>products_export!E6</f>
        <v>Hot pink roses, pink asiatic lilies, pink gladioli, hot pink carnations, pink larkspur, red ti leaves, Italian ruscus and lemon leaf.</v>
      </c>
      <c r="C6" s="16" t="str">
        <f>products_export!H6</f>
        <v>Urn Arrangements</v>
      </c>
      <c r="D6" s="15">
        <f>products_export!K6</f>
        <v>67.5</v>
      </c>
      <c r="E6" s="15">
        <f>products_export!L6</f>
        <v>80</v>
      </c>
      <c r="F6" s="10" t="str">
        <f>products_export!O6</f>
        <v>https://cdn.shopify.com/s/files/1/0790/8529/products/T273-9A.jpeg?v=1425992847</v>
      </c>
      <c r="G6" s="18" t="str">
        <f>products_export!P6</f>
        <v>(display image: Adoring Heart)</v>
      </c>
      <c r="H6" t="str">
        <f>products_export!M6</f>
        <v>T273-9A</v>
      </c>
      <c r="I6">
        <f>products_export!N6</f>
        <v>99.95</v>
      </c>
      <c r="J6" s="7" t="str">
        <f>"img/flowers/"&amp;Data!H6&amp;".png"</f>
        <v>img/flowers/T273-9A.png</v>
      </c>
    </row>
    <row r="7" spans="1:10" x14ac:dyDescent="0.25">
      <c r="A7" t="str">
        <f>products_export!A7</f>
        <v>All In White</v>
      </c>
      <c r="B7" s="10" t="str">
        <f>products_export!E7</f>
        <v>A traditional spray of mixed flowers in pure white beauty.</v>
      </c>
      <c r="C7" s="16" t="str">
        <f>products_export!H7</f>
        <v>Standing Arrangements</v>
      </c>
      <c r="D7" s="15">
        <f>products_export!K7</f>
        <v>75</v>
      </c>
      <c r="E7" s="15">
        <f>products_export!L7</f>
        <v>137.5</v>
      </c>
      <c r="F7" s="10" t="str">
        <f>products_export!O7</f>
        <v>https://cdn.shopify.com/s/files/1/0790/8529/products/S-5012.jpeg?v=1425992663</v>
      </c>
      <c r="G7" s="18" t="str">
        <f>products_export!P7</f>
        <v>(display image: All In White)</v>
      </c>
      <c r="H7" t="str">
        <f>products_export!M7</f>
        <v>S-5012</v>
      </c>
      <c r="I7">
        <f>products_export!N7</f>
        <v>180</v>
      </c>
      <c r="J7" s="7" t="str">
        <f>"img/flowers/"&amp;Data!H7&amp;".png"</f>
        <v>img/flowers/S-5012.png</v>
      </c>
    </row>
    <row r="8" spans="1:10" x14ac:dyDescent="0.25">
      <c r="A8" t="str">
        <f>products_export!A8</f>
        <v>Always Adored Casket Spray</v>
      </c>
      <c r="B8" s="10" t="str">
        <f>products_export!E8</f>
        <v>Pink hydrangea, larkspur and roses mingle with white roses, stock and waxflower. Ivy, fern and fragrant eucalyptus act as green accents in this spray that rests atop the casket.</v>
      </c>
      <c r="C8" s="16" t="str">
        <f>products_export!H8</f>
        <v>Casket Sprays</v>
      </c>
      <c r="D8" s="15">
        <f>products_export!K8</f>
        <v>165</v>
      </c>
      <c r="E8" s="15">
        <f>products_export!L8</f>
        <v>70</v>
      </c>
      <c r="F8" s="10" t="str">
        <f>products_export!O8</f>
        <v>https://cdn.shopify.com/s/files/1/0790/8529/products/T236-3A.jpeg?v=1425992741</v>
      </c>
      <c r="G8" s="18" t="str">
        <f>products_export!P8</f>
        <v>(display image: Always Adored Casket Spray)</v>
      </c>
      <c r="H8" t="str">
        <f>products_export!M8</f>
        <v>T236-3A</v>
      </c>
      <c r="I8">
        <f>products_export!N8</f>
        <v>459.95</v>
      </c>
      <c r="J8" s="7" t="str">
        <f>"img/flowers/"&amp;Data!H8&amp;".png"</f>
        <v>img/flowers/T236-3A.png</v>
      </c>
    </row>
    <row r="9" spans="1:10" x14ac:dyDescent="0.25">
      <c r="A9" t="str">
        <f>products_export!A9</f>
        <v>Amazing Arboricola</v>
      </c>
      <c r="B9" s="10" t="str">
        <f>products_export!E9</f>
        <v>A schefflera arboricola plant is presented in a neutral gray planter.</v>
      </c>
      <c r="C9" s="16" t="str">
        <f>products_export!H9</f>
        <v>House Plants</v>
      </c>
      <c r="D9" s="15">
        <f>products_export!K9</f>
        <v>67.5</v>
      </c>
      <c r="E9" s="15">
        <f>products_export!L9</f>
        <v>87.5</v>
      </c>
      <c r="F9" s="10" t="str">
        <f>products_export!O9</f>
        <v>https://cdn.shopify.com/s/files/1/0790/8529/products/T104-3A.jpeg?v=1425992671</v>
      </c>
      <c r="G9" s="18" t="str">
        <f>products_export!P9</f>
        <v>(display image: Amazing Arboricola)</v>
      </c>
      <c r="H9" t="str">
        <f>products_export!M9</f>
        <v>T104-3A</v>
      </c>
      <c r="I9">
        <f>products_export!N9</f>
        <v>99.95</v>
      </c>
      <c r="J9" s="7" t="str">
        <f>"img/flowers/"&amp;Data!H9&amp;".png"</f>
        <v>img/flowers/T104-3A.png</v>
      </c>
    </row>
    <row r="10" spans="1:10" x14ac:dyDescent="0.25">
      <c r="A10" t="str">
        <f>products_export!A10</f>
        <v>Basket of Joy</v>
      </c>
      <c r="B10" s="10" t="str">
        <f>products_export!E10</f>
        <v>Two ivy plants along with white and yellow kalanchoe fill a charming round basket.</v>
      </c>
      <c r="C10" s="16" t="str">
        <f>products_export!H10</f>
        <v>House Plants</v>
      </c>
      <c r="D10" s="15">
        <f>products_export!K10</f>
        <v>32.5</v>
      </c>
      <c r="E10" s="15">
        <f>products_export!L10</f>
        <v>27.5</v>
      </c>
      <c r="F10" s="10" t="str">
        <f>products_export!O10</f>
        <v>https://cdn.shopify.com/s/files/1/0790/8529/products/T95-2A.jpeg?v=1425992858</v>
      </c>
      <c r="G10" s="18" t="str">
        <f>products_export!P10</f>
        <v>(display image: Basket of Joy)</v>
      </c>
      <c r="H10" t="str">
        <f>products_export!M10</f>
        <v>T95-2A</v>
      </c>
      <c r="I10">
        <f>products_export!N10</f>
        <v>54.95</v>
      </c>
      <c r="J10" s="7" t="str">
        <f>"img/flowers/"&amp;Data!H10&amp;".png"</f>
        <v>img/flowers/T95-2A.png</v>
      </c>
    </row>
    <row r="11" spans="1:10" x14ac:dyDescent="0.25">
      <c r="A11" t="str">
        <f>products_export!A11</f>
        <v>Basket of Memories</v>
      </c>
      <c r="B11" s="10" t="str">
        <f>products_export!E11</f>
        <v>Beautiful fresh flowers such as yellow asiatic lilies and gladioli contrast with purple carnations, statice and gladioli, plus lavender carnations and chrysanthemums in a rectangular basket with handle.</v>
      </c>
      <c r="C11" s="16" t="str">
        <f>products_export!H11</f>
        <v>Funeral Baskets</v>
      </c>
      <c r="D11" s="15">
        <f>products_export!K11</f>
        <v>52.5</v>
      </c>
      <c r="E11" s="15">
        <f>products_export!L11</f>
        <v>70</v>
      </c>
      <c r="F11" s="10" t="str">
        <f>products_export!O11</f>
        <v>https://cdn.shopify.com/s/files/1/0790/8529/products/T218-3A.jpeg?v=1425992701</v>
      </c>
      <c r="G11" s="18" t="str">
        <f>products_export!P11</f>
        <v>(display image: Basket of Memories)</v>
      </c>
      <c r="H11" t="str">
        <f>products_export!M11</f>
        <v>T218-3A</v>
      </c>
      <c r="I11">
        <f>products_export!N11</f>
        <v>94.95</v>
      </c>
      <c r="J11" s="7" t="str">
        <f>"img/flowers/"&amp;Data!H11&amp;".png"</f>
        <v>img/flowers/T218-3A.png</v>
      </c>
    </row>
    <row r="12" spans="1:10" x14ac:dyDescent="0.25">
      <c r="A12" t="str">
        <f>products_export!A12</f>
        <v>Beautiful Dreams</v>
      </c>
      <c r="B12" s="10" t="str">
        <f>products_export!E12</f>
        <v>Tasteful flowers such as light blue hydrangea, creme roses, white asiatic lilies, miniature carnations and more are delivered in a lovely white French Country Pot.</v>
      </c>
      <c r="C12" s="16" t="str">
        <f>products_export!H12</f>
        <v>Floral Vases</v>
      </c>
      <c r="D12" s="15">
        <f>products_export!K12</f>
        <v>32.5</v>
      </c>
      <c r="E12" s="15">
        <f>products_export!L12</f>
        <v>30</v>
      </c>
      <c r="F12" s="10" t="str">
        <f>products_export!O12</f>
        <v>https://cdn.shopify.com/s/files/1/0790/8529/products/T209-1A.jpeg?v=1425992687</v>
      </c>
      <c r="G12" s="18" t="str">
        <f>products_export!P12</f>
        <v>(display image: Beautiful Dreams)</v>
      </c>
      <c r="H12" t="str">
        <f>products_export!M12</f>
        <v>T209-1A</v>
      </c>
      <c r="I12">
        <f>products_export!N12</f>
        <v>79.95</v>
      </c>
      <c r="J12" s="7" t="str">
        <f>"img/flowers/"&amp;Data!H12&amp;".png"</f>
        <v>img/flowers/T209-1A.png</v>
      </c>
    </row>
    <row r="13" spans="1:10" x14ac:dyDescent="0.25">
      <c r="A13" t="str">
        <f>products_export!A13</f>
        <v>Beautiful Whisper</v>
      </c>
      <c r="B13" s="10" t="str">
        <f>products_export!E13</f>
        <v>White, creme, and light pink roses nestled with hydrangea, lilies, Queen Anne's lace, bouvardia and dusty miller in a classic clear-glass cinched hurricane vase.</v>
      </c>
      <c r="C13" s="16" t="str">
        <f>products_export!H13</f>
        <v>Floral Vases</v>
      </c>
      <c r="D13" s="15">
        <f>products_export!K13</f>
        <v>40</v>
      </c>
      <c r="E13" s="15">
        <f>products_export!L13</f>
        <v>40</v>
      </c>
      <c r="F13" s="10" t="str">
        <f>products_export!O13</f>
        <v>https://cdn.shopify.com/s/files/1/0790/8529/products/T237-1A.jpeg?v=1425992742</v>
      </c>
      <c r="G13" s="18" t="str">
        <f>products_export!P13</f>
        <v>(display image: Beautiful Whisper)</v>
      </c>
      <c r="H13" t="str">
        <f>products_export!M13</f>
        <v>T237-1A</v>
      </c>
      <c r="I13">
        <f>products_export!N13</f>
        <v>154.99</v>
      </c>
      <c r="J13" s="7" t="str">
        <f>"img/flowers/"&amp;Data!H13&amp;".png"</f>
        <v>img/flowers/T237-1A.png</v>
      </c>
    </row>
    <row r="14" spans="1:10" x14ac:dyDescent="0.25">
      <c r="A14" t="str">
        <f>products_export!A14</f>
        <v>Bed of Pink Roses</v>
      </c>
      <c r="B14" s="10" t="str">
        <f>products_export!E14</f>
        <v>Pink roses are lovingly arranged with ivy and other gentle greens to display the urn.</v>
      </c>
      <c r="C14" s="16" t="str">
        <f>products_export!H14</f>
        <v>Urn Arrangements</v>
      </c>
      <c r="D14" s="15">
        <f>products_export!K14</f>
        <v>82.5</v>
      </c>
      <c r="E14" s="15">
        <f>products_export!L14</f>
        <v>50</v>
      </c>
      <c r="F14" s="10" t="str">
        <f>products_export!O14</f>
        <v>https://cdn.shopify.com/s/files/1/0790/8529/products/T253-2A.jpeg?v=1425992786</v>
      </c>
      <c r="G14" s="18" t="str">
        <f>products_export!P14</f>
        <v>(display image: Bed of Pink Roses)</v>
      </c>
      <c r="H14" t="str">
        <f>products_export!M14</f>
        <v>T253-2A</v>
      </c>
      <c r="I14">
        <f>products_export!N14</f>
        <v>194.95</v>
      </c>
      <c r="J14" s="7" t="str">
        <f>"img/flowers/"&amp;Data!H14&amp;".png"</f>
        <v>img/flowers/T253-2A.png</v>
      </c>
    </row>
    <row r="15" spans="1:10" x14ac:dyDescent="0.25">
      <c r="A15" t="str">
        <f>products_export!A15</f>
        <v>Birch Compassion Cross</v>
      </c>
      <c r="B15" s="10" t="str">
        <f>products_export!E15</f>
        <v>One natural birch cross on an easel arrives with a cluster of vibrant fresh flowers including asters, roses and delphinium.</v>
      </c>
      <c r="C15" s="16" t="str">
        <f>products_export!H15</f>
        <v>Standing Arrangements</v>
      </c>
      <c r="D15" s="15">
        <f>products_export!K15</f>
        <v>90</v>
      </c>
      <c r="E15" s="15">
        <f>products_export!L15</f>
        <v>127.5</v>
      </c>
      <c r="F15" s="10" t="str">
        <f>products_export!O15</f>
        <v>https://cdn.shopify.com/s/files/1/0790/8529/products/34941.jpeg?v=1425992891</v>
      </c>
      <c r="G15" s="18" t="str">
        <f>products_export!P15</f>
        <v>(display image: Birch Compassion Cross)</v>
      </c>
      <c r="H15" t="str">
        <f>products_export!M15</f>
        <v>TF203-4</v>
      </c>
      <c r="I15">
        <f>products_export!N15</f>
        <v>119.95</v>
      </c>
      <c r="J15" s="7" t="str">
        <f>"img/flowers/"&amp;Data!H15&amp;".png"</f>
        <v>img/flowers/TF203-4.png</v>
      </c>
    </row>
    <row r="16" spans="1:10" x14ac:dyDescent="0.25">
      <c r="A16" t="str">
        <f>products_export!A16</f>
        <v>Blessed Heart</v>
      </c>
      <c r="B16" s="10" t="str">
        <f>products_export!E16</f>
        <v>Red roses, spray roses, carnations and miniature carnations are arranged with fern and ivy in the shape of a heart.</v>
      </c>
      <c r="C16" s="16" t="str">
        <f>products_export!H16</f>
        <v>Standing Arrangements</v>
      </c>
      <c r="D16" s="15">
        <f>products_export!K16</f>
        <v>57.5</v>
      </c>
      <c r="E16" s="15">
        <f>products_export!L16</f>
        <v>60</v>
      </c>
      <c r="F16" s="10" t="str">
        <f>products_export!O16</f>
        <v>https://cdn.shopify.com/s/files/1/0790/8529/products/T225-2A.jpeg?v=1425992714</v>
      </c>
      <c r="G16" s="18" t="str">
        <f>products_export!P16</f>
        <v>(display image: Blessed Heart)</v>
      </c>
      <c r="H16" t="str">
        <f>products_export!M16</f>
        <v>T225-2A</v>
      </c>
      <c r="I16">
        <f>products_export!N16</f>
        <v>217.95</v>
      </c>
      <c r="J16" s="7" t="str">
        <f>"img/flowers/"&amp;Data!H16&amp;".png"</f>
        <v>img/flowers/T225-2A.png</v>
      </c>
    </row>
    <row r="17" spans="1:10" x14ac:dyDescent="0.25">
      <c r="A17" t="str">
        <f>products_export!A17</f>
        <v>Blooming Garden Basket</v>
      </c>
      <c r="B17" s="10" t="str">
        <f>products_export!E17</f>
        <v>A lush garden of potted flowering plants includes yellow miniature roses, pink azalea, African violets, hot pink hypoestes and green ivy.</v>
      </c>
      <c r="C17" s="16" t="str">
        <f>products_export!H17</f>
        <v>House Plants</v>
      </c>
      <c r="D17" s="15">
        <f>products_export!K17</f>
        <v>42.5</v>
      </c>
      <c r="E17" s="15">
        <f>products_export!L17</f>
        <v>35</v>
      </c>
      <c r="F17" s="10" t="str">
        <f>products_export!O17</f>
        <v>https://cdn.shopify.com/s/files/1/0790/8529/products/T213-3A.jpeg?v=1425992695</v>
      </c>
      <c r="G17" s="18" t="str">
        <f>products_export!P17</f>
        <v>(display image: Blooming Garden Basket)</v>
      </c>
      <c r="H17" t="str">
        <f>products_export!M17</f>
        <v>T213-3A</v>
      </c>
      <c r="I17">
        <f>products_export!N17</f>
        <v>99.99</v>
      </c>
      <c r="J17" s="7" t="str">
        <f>"img/flowers/"&amp;Data!H17&amp;".png"</f>
        <v>img/flowers/T213-3A.png</v>
      </c>
    </row>
    <row r="18" spans="1:10" x14ac:dyDescent="0.25">
      <c r="A18" t="str">
        <f>products_export!A18</f>
        <v>Bountiful Memories Casket Spray</v>
      </c>
      <c r="B18" s="10" t="str">
        <f>products_export!E18</f>
        <v>Pure white oriental lilies, gladioli, carnations and stock blend with fragrant greens to create a beautiful crescent-shaped half-casket spray.</v>
      </c>
      <c r="C18" s="16" t="str">
        <f>products_export!H18</f>
        <v>Casket Sprays</v>
      </c>
      <c r="D18" s="15">
        <f>products_export!K18</f>
        <v>122.5</v>
      </c>
      <c r="E18" s="15">
        <f>products_export!L18</f>
        <v>67.5</v>
      </c>
      <c r="F18" s="10" t="str">
        <f>products_export!O18</f>
        <v>https://cdn.shopify.com/s/files/1/0790/8529/products/T242-4A.jpeg?v=1425992759</v>
      </c>
      <c r="G18" s="18" t="str">
        <f>products_export!P18</f>
        <v>(display image: Bountiful Memories Casket Spray)</v>
      </c>
      <c r="H18" t="str">
        <f>products_export!M18</f>
        <v>T242-4A</v>
      </c>
      <c r="I18">
        <f>products_export!N18</f>
        <v>254.99</v>
      </c>
      <c r="J18" s="7" t="str">
        <f>"img/flowers/"&amp;Data!H18&amp;".png"</f>
        <v>img/flowers/T242-4A.png</v>
      </c>
    </row>
    <row r="19" spans="1:10" x14ac:dyDescent="0.25">
      <c r="A19" t="str">
        <f>products_export!A19</f>
        <v>Bountiful Rose Basket</v>
      </c>
      <c r="B19" s="10" t="str">
        <f>products_export!E19</f>
        <v>White and creme roses with fragrant seeded eucalyptus beautifully presented in a large basket.</v>
      </c>
      <c r="C19" s="16" t="str">
        <f>products_export!H19</f>
        <v>Funeral Baskets</v>
      </c>
      <c r="D19" s="15">
        <f>products_export!K19</f>
        <v>62.5</v>
      </c>
      <c r="E19" s="15">
        <f>products_export!L19</f>
        <v>52.5</v>
      </c>
      <c r="F19" s="10" t="str">
        <f>products_export!O19</f>
        <v>https://cdn.shopify.com/s/files/1/0790/8529/products/T233-1A.jpeg?v=1425992734</v>
      </c>
      <c r="G19" s="18" t="str">
        <f>products_export!P19</f>
        <v>(display image: Bountiful Rose Basket)</v>
      </c>
      <c r="H19" t="str">
        <f>products_export!M19</f>
        <v>T233-1A</v>
      </c>
      <c r="I19">
        <f>products_export!N19</f>
        <v>204.95</v>
      </c>
      <c r="J19" s="7" t="str">
        <f>"img/flowers/"&amp;Data!H19&amp;".png"</f>
        <v>img/flowers/T233-1A.png</v>
      </c>
    </row>
    <row r="20" spans="1:10" x14ac:dyDescent="0.25">
      <c r="A20" t="str">
        <f>products_export!A20</f>
        <v>Bright and Beautiful Spray</v>
      </c>
      <c r="B20" s="10" t="str">
        <f>products_export!E20</f>
        <v>A lovely assortment of flowers such as lavender gladioli and cushion spray chrysanthemums, yellow snapdragons, carnations and daisy spray chrysanthemums, hot pink roses, purple hydrangea, asters and assorted greens are all presented on an easel.</v>
      </c>
      <c r="C20" s="16" t="str">
        <f>products_export!H20</f>
        <v>Standing Arrangements</v>
      </c>
      <c r="D20" s="15">
        <f>products_export!K20</f>
        <v>72.5</v>
      </c>
      <c r="E20" s="15">
        <f>products_export!L20</f>
        <v>137.5</v>
      </c>
      <c r="F20" s="10" t="str">
        <f>products_export!O20</f>
        <v>https://cdn.shopify.com/s/files/1/0790/8529/products/T249-3A.jpeg?v=1425992778</v>
      </c>
      <c r="G20" s="18" t="str">
        <f>products_export!P20</f>
        <v>(display image: Bright and Beautiful Spray)</v>
      </c>
      <c r="H20" t="str">
        <f>products_export!M20</f>
        <v>T249-3A</v>
      </c>
      <c r="I20">
        <f>products_export!N20</f>
        <v>147.94999999999999</v>
      </c>
      <c r="J20" s="7" t="str">
        <f>"img/flowers/"&amp;Data!H20&amp;".png"</f>
        <v>img/flowers/T249-3A.png</v>
      </c>
    </row>
    <row r="21" spans="1:10" x14ac:dyDescent="0.25">
      <c r="A21" t="str">
        <f>products_export!A21</f>
        <v>Brighter Blessings Spray</v>
      </c>
      <c r="B21" s="10" t="str">
        <f>products_export!E21</f>
        <v>One standing spray arrives on an easel with yellow alstroemeria, carnations, chrysanthemums and gerberas.</v>
      </c>
      <c r="C21" s="16" t="str">
        <f>products_export!H21</f>
        <v>Standing Arrangements</v>
      </c>
      <c r="D21" s="15">
        <f>products_export!K21</f>
        <v>60</v>
      </c>
      <c r="E21" s="15">
        <f>products_export!L21</f>
        <v>137.5</v>
      </c>
      <c r="F21" s="10" t="str">
        <f>products_export!O21</f>
        <v>https://cdn.shopify.com/s/files/1/0790/8529/products/34978.jpeg?v=1425992901</v>
      </c>
      <c r="G21" s="18" t="str">
        <f>products_export!P21</f>
        <v>(display image: Brighter Blessings Spray)</v>
      </c>
      <c r="H21" t="str">
        <f>products_export!M21</f>
        <v>TF211-2</v>
      </c>
      <c r="I21">
        <f>products_export!N21</f>
        <v>129.94999999999999</v>
      </c>
      <c r="J21" s="7" t="str">
        <f>"img/flowers/"&amp;Data!H21&amp;".png"</f>
        <v>img/flowers/TF211-2.png</v>
      </c>
    </row>
    <row r="22" spans="1:10" x14ac:dyDescent="0.25">
      <c r="A22" t="str">
        <f>products_export!A22</f>
        <v>Broken Heart</v>
      </c>
      <c r="B22" s="10" t="str">
        <f>products_export!E22</f>
        <v>One heart-shaped design arrives covered with white chrysanthemums, accented with a break of red roses. The heart is delivered on an easel.</v>
      </c>
      <c r="C22" s="16" t="str">
        <f>products_export!H22</f>
        <v>Standing Arrangements</v>
      </c>
      <c r="D22" s="15">
        <f>products_export!K22</f>
        <v>52.5</v>
      </c>
      <c r="E22" s="15">
        <f>products_export!L22</f>
        <v>60</v>
      </c>
      <c r="F22" s="10" t="str">
        <f>products_export!O22</f>
        <v>https://cdn.shopify.com/s/files/1/0790/8529/products/34969.jpeg?v=1425992900</v>
      </c>
      <c r="G22" s="18" t="str">
        <f>products_export!P22</f>
        <v>(display image: Broken Heart)</v>
      </c>
      <c r="H22" t="str">
        <f>products_export!M22</f>
        <v>TF208-3</v>
      </c>
      <c r="I22">
        <f>products_export!N22</f>
        <v>218.95</v>
      </c>
      <c r="J22" s="7" t="str">
        <f>"img/flowers/"&amp;Data!H22&amp;".png"</f>
        <v>img/flowers/TF208-3.png</v>
      </c>
    </row>
    <row r="23" spans="1:10" x14ac:dyDescent="0.25">
      <c r="A23" t="str">
        <f>products_export!A23</f>
        <v>Care and Compassion Spray</v>
      </c>
      <c r="B23" s="10" t="str">
        <f>products_export!E23</f>
        <v>This elegant, all red funeral spray. Stunning blooms such as red roses, red gladioli and red carnations are accented with bells of Ireland, bupleurum, myrtle and salal on a classic wire easel.</v>
      </c>
      <c r="C23" s="16" t="str">
        <f>products_export!H23</f>
        <v>Standing Arrangements</v>
      </c>
      <c r="D23" s="15">
        <f>products_export!K23</f>
        <v>57.5</v>
      </c>
      <c r="E23" s="15">
        <f>products_export!L23</f>
        <v>115</v>
      </c>
      <c r="F23" s="10" t="str">
        <f>products_export!O23</f>
        <v>https://cdn.shopify.com/s/files/1/0790/8529/products/T230-1A.jpeg?v=1425992726</v>
      </c>
      <c r="G23" s="18" t="str">
        <f>products_export!P23</f>
        <v>(display image: Care and Compassion Spray)</v>
      </c>
      <c r="H23" t="str">
        <f>products_export!M23</f>
        <v>T230-1A</v>
      </c>
      <c r="I23">
        <f>products_export!N23</f>
        <v>279.99</v>
      </c>
      <c r="J23" s="7" t="str">
        <f>"img/flowers/"&amp;Data!H23&amp;".png"</f>
        <v>img/flowers/T230-1A.png</v>
      </c>
    </row>
    <row r="24" spans="1:10" x14ac:dyDescent="0.25">
      <c r="A24" t="str">
        <f>products_export!A24</f>
        <v>Celebration Wreath</v>
      </c>
      <c r="B24" s="10" t="str">
        <f>products_export!E24</f>
        <v>A wreath of distinctive orange, yellow and blue flowers. Orange roses, yellow spray chrysanthemums, blue hydrangea, red amaranthus and purple asters.&gt;</v>
      </c>
      <c r="C24" s="16" t="str">
        <f>products_export!H24</f>
        <v>Standing Arrangements</v>
      </c>
      <c r="D24" s="15">
        <f>products_export!K24</f>
        <v>37.5</v>
      </c>
      <c r="E24" s="15">
        <f>products_export!L24</f>
        <v>37.5</v>
      </c>
      <c r="F24" s="10" t="str">
        <f>products_export!O24</f>
        <v>https://cdn.shopify.com/s/files/1/0790/8529/products/34947.jpeg?v=1425992890</v>
      </c>
      <c r="G24" s="18" t="str">
        <f>products_export!P24</f>
        <v>(display image: Celebration Wreath)</v>
      </c>
      <c r="H24" t="str">
        <f>products_export!M24</f>
        <v>TF203-10</v>
      </c>
      <c r="I24">
        <f>products_export!N24</f>
        <v>304.95</v>
      </c>
      <c r="J24" s="7" t="str">
        <f>"img/flowers/"&amp;Data!H24&amp;".png"</f>
        <v>img/flowers/TF203-10.png</v>
      </c>
    </row>
    <row r="25" spans="1:10" x14ac:dyDescent="0.25">
      <c r="A25" t="str">
        <f>products_export!A25</f>
        <v>Cherished Moments Spray</v>
      </c>
      <c r="B25" s="10" t="str">
        <f>products_export!E25</f>
        <v>One spray on an easel arrives decorated with white gladioli, snapdragons and stock, accented with red carnations.</v>
      </c>
      <c r="C25" s="16" t="str">
        <f>products_export!H25</f>
        <v>Standing Arrangements</v>
      </c>
      <c r="D25" s="15">
        <f>products_export!K25</f>
        <v>77.5</v>
      </c>
      <c r="E25" s="15">
        <f>products_export!L25</f>
        <v>112.5</v>
      </c>
      <c r="F25" s="10" t="str">
        <f>products_export!O25</f>
        <v>https://cdn.shopify.com/s/files/1/0790/8529/products/34965.jpeg?v=1425992898</v>
      </c>
      <c r="G25" s="18" t="str">
        <f>products_export!P25</f>
        <v>(display image: Cherished Moments Spray)</v>
      </c>
      <c r="H25" t="str">
        <f>products_export!M25</f>
        <v>TF207-7</v>
      </c>
      <c r="I25">
        <f>products_export!N25</f>
        <v>104.95</v>
      </c>
      <c r="J25" s="7" t="str">
        <f>"img/flowers/"&amp;Data!H25&amp;".png"</f>
        <v>img/flowers/TF207-7.png</v>
      </c>
    </row>
    <row r="26" spans="1:10" x14ac:dyDescent="0.25">
      <c r="A26" t="str">
        <f>products_export!A26</f>
        <v>Classic Carnation Arrangement</v>
      </c>
      <c r="B26" s="10" t="str">
        <f>products_export!E26</f>
        <v>One fan-shaped design of light and dark pink carnations with complementing foliage and a pink ribbon is delivered in a traditional container.</v>
      </c>
      <c r="C26" s="16" t="str">
        <f>products_export!H26</f>
        <v>Funeral Baskets</v>
      </c>
      <c r="D26" s="15">
        <f>products_export!K26</f>
        <v>80</v>
      </c>
      <c r="E26" s="15">
        <f>products_export!L26</f>
        <v>75</v>
      </c>
      <c r="F26" s="10" t="str">
        <f>products_export!O26</f>
        <v>https://cdn.shopify.com/s/files/1/0790/8529/products/34917.jpeg?v=1425992885</v>
      </c>
      <c r="G26" s="18" t="str">
        <f>products_export!P26</f>
        <v>(display image: Classic Carnation Arrangement)</v>
      </c>
      <c r="H26" t="str">
        <f>products_export!M26</f>
        <v>TF198-3</v>
      </c>
      <c r="I26">
        <f>products_export!N26</f>
        <v>74.95</v>
      </c>
      <c r="J26" s="7" t="str">
        <f>"img/flowers/"&amp;Data!H26&amp;".png"</f>
        <v>img/flowers/TF198-3.png</v>
      </c>
    </row>
    <row r="27" spans="1:10" x14ac:dyDescent="0.25">
      <c r="A27" t="str">
        <f>products_export!A27</f>
        <v>Dawn of Remembrance Basket</v>
      </c>
      <c r="B27" s="10" t="str">
        <f>products_export!E27</f>
        <v>Satin ribbon is threaded throughout to complement the soft look. Beautiful blooms such as white and light pink roses with white larkspur, white mums and silvery dusty miller. Arranged in a white handled basket and accented with satin ribbon.</v>
      </c>
      <c r="C27" s="16" t="str">
        <f>products_export!H27</f>
        <v>Floral Baskets</v>
      </c>
      <c r="D27" s="15">
        <f>products_export!K27</f>
        <v>62.5</v>
      </c>
      <c r="E27" s="15">
        <f>products_export!L27</f>
        <v>32.5</v>
      </c>
      <c r="F27" s="10" t="str">
        <f>products_export!O27</f>
        <v>https://cdn.shopify.com/s/files/1/0790/8529/products/T236-2A.jpeg?v=1425992740</v>
      </c>
      <c r="G27" s="18" t="str">
        <f>products_export!P27</f>
        <v>(display image: Dawn of Remembrance Basket)</v>
      </c>
      <c r="H27" t="str">
        <f>products_export!M27</f>
        <v>T236-2A</v>
      </c>
      <c r="I27">
        <f>products_export!N27</f>
        <v>149.99</v>
      </c>
      <c r="J27" s="7" t="str">
        <f>"img/flowers/"&amp;Data!H27&amp;".png"</f>
        <v>img/flowers/T236-2A.png</v>
      </c>
    </row>
    <row r="28" spans="1:10" x14ac:dyDescent="0.25">
      <c r="A28" t="str">
        <f>products_export!A28</f>
        <v>Days of Sunshine Bouquet</v>
      </c>
      <c r="B28" s="10" t="str">
        <f>products_export!E28</f>
        <v>Red roses, red alstroemeria, orange gladioli, orange carnations and bells of Ireland, accented with assorted greenery and delivered in a clear glass Ming urn.</v>
      </c>
      <c r="C28" s="16" t="str">
        <f>products_export!H28</f>
        <v>Floral Vases</v>
      </c>
      <c r="D28" s="15">
        <f>products_export!K28</f>
        <v>50</v>
      </c>
      <c r="E28" s="15">
        <f>products_export!L28</f>
        <v>67.5</v>
      </c>
      <c r="F28" s="10" t="str">
        <f>products_export!O28</f>
        <v>https://cdn.shopify.com/s/files/1/0790/8529/products/T271-1A.jpeg?v=1425992835</v>
      </c>
      <c r="G28" s="18" t="str">
        <f>products_export!P28</f>
        <v>(display image: Days of Sunshine Bouquet)_x000D_Days of Sunshine Bouquet)</v>
      </c>
      <c r="H28" t="str">
        <f>products_export!M28</f>
        <v>T271-1A</v>
      </c>
      <c r="I28">
        <f>products_export!N28</f>
        <v>89.99</v>
      </c>
      <c r="J28" s="7" t="str">
        <f>"img/flowers/"&amp;Data!H28&amp;".png"</f>
        <v>img/flowers/T271-1A.png</v>
      </c>
    </row>
    <row r="29" spans="1:10" x14ac:dyDescent="0.25">
      <c r="A29" t="str">
        <f>products_export!A29</f>
        <v>Deep in Our Hearts Spray</v>
      </c>
      <c r="B29" s="10" t="str">
        <f>products_export!E29</f>
        <v>A radiant arrangement including red roses, red gladioli, red carnations and red miniature carnations, accented with assorted greenery.</v>
      </c>
      <c r="C29" s="16" t="str">
        <f>products_export!H29</f>
        <v>Standing Arrangements</v>
      </c>
      <c r="D29" s="15">
        <f>products_export!K29</f>
        <v>65</v>
      </c>
      <c r="E29" s="15">
        <f>products_export!L29</f>
        <v>130</v>
      </c>
      <c r="F29" s="10" t="str">
        <f>products_export!O29</f>
        <v>https://cdn.shopify.com/s/files/1/0790/8529/products/T270-1A.jpeg?v=1425992833</v>
      </c>
      <c r="G29" s="18" t="str">
        <f>products_export!P29</f>
        <v>(display image: Deep in Our Hearts Spray)</v>
      </c>
      <c r="H29" t="str">
        <f>products_export!M29</f>
        <v>T270-1A</v>
      </c>
      <c r="I29">
        <f>products_export!N29</f>
        <v>254.99</v>
      </c>
      <c r="J29" s="7" t="str">
        <f>"img/flowers/"&amp;Data!H29&amp;".png"</f>
        <v>img/flowers/T270-1A.png</v>
      </c>
    </row>
    <row r="30" spans="1:10" x14ac:dyDescent="0.25">
      <c r="A30" t="str">
        <f>products_export!A30</f>
        <v>Deepest Faith</v>
      </c>
      <c r="B30" s="10" t="str">
        <f>products_export!E30</f>
        <v>Lavender roses, carnations and cushion spray chrysanthemums along with fuchsia and purple carnations and button spray chrysanthemums create a dazzling cross that is full of hope and devotion.</v>
      </c>
      <c r="C30" s="16" t="str">
        <f>products_export!H30</f>
        <v>Standing Arrangements</v>
      </c>
      <c r="D30" s="15">
        <f>products_export!K30</f>
        <v>57.5</v>
      </c>
      <c r="E30" s="15">
        <f>products_export!L30</f>
        <v>95</v>
      </c>
      <c r="F30" s="10" t="str">
        <f>products_export!O30</f>
        <v>https://cdn.shopify.com/s/files/1/0790/8529/products/T238-1A.jpeg?v=1425992744</v>
      </c>
      <c r="G30" s="18" t="str">
        <f>products_export!P30</f>
        <v>(display image: Deepest Faith)</v>
      </c>
      <c r="H30" t="str">
        <f>products_export!M30</f>
        <v>T238-1A</v>
      </c>
      <c r="I30">
        <f>products_export!N30</f>
        <v>202.95</v>
      </c>
      <c r="J30" s="7" t="str">
        <f>"img/flowers/"&amp;Data!H30&amp;".png"</f>
        <v>img/flowers/T238-1A.png</v>
      </c>
    </row>
    <row r="31" spans="1:10" x14ac:dyDescent="0.25">
      <c r="A31" t="str">
        <f>products_export!A31</f>
        <v>Delightful Dieffenbachia</v>
      </c>
      <c r="B31" s="10" t="str">
        <f>products_export!E31</f>
        <v>&gt;A potted dieffenbachia plant is presented in an elegant, Asian-style red planter.</v>
      </c>
      <c r="C31" s="16" t="str">
        <f>products_export!H31</f>
        <v>House Plants</v>
      </c>
      <c r="D31" s="15">
        <f>products_export!K31</f>
        <v>72.5</v>
      </c>
      <c r="E31" s="15">
        <f>products_export!L31</f>
        <v>80</v>
      </c>
      <c r="F31" s="10" t="str">
        <f>products_export!O31</f>
        <v>https://cdn.shopify.com/s/files/1/0790/8529/products/T104-2A.jpeg?v=1425992670</v>
      </c>
      <c r="G31" s="18" t="str">
        <f>products_export!P31</f>
        <v>(display image: Delightful Dieffenbachia)</v>
      </c>
      <c r="H31" t="str">
        <f>products_export!M31</f>
        <v>T104-2A</v>
      </c>
      <c r="I31">
        <f>products_export!N31</f>
        <v>79.95</v>
      </c>
      <c r="J31" s="7" t="str">
        <f>"img/flowers/"&amp;Data!H31&amp;".png"</f>
        <v>img/flowers/T104-2A.png</v>
      </c>
    </row>
    <row r="32" spans="1:10" x14ac:dyDescent="0.25">
      <c r="A32" t="str">
        <f>products_export!A32</f>
        <v>Devoted Heart Casket Insert</v>
      </c>
      <c r="B32" s="10" t="str">
        <f>products_export!E32</f>
        <v>White spray roses surrounded by red miniature carnations formed in the shape of a heart.</v>
      </c>
      <c r="C32" s="16" t="str">
        <f>products_export!H32</f>
        <v>Casket Sprays</v>
      </c>
      <c r="D32" s="15">
        <f>products_export!K32</f>
        <v>22.5</v>
      </c>
      <c r="E32" s="15">
        <f>products_export!L32</f>
        <v>22.5</v>
      </c>
      <c r="F32" s="10" t="str">
        <f>products_export!O32</f>
        <v>https://cdn.shopify.com/s/files/1/0790/8529/products/T260-2A.jpeg?v=1425992803</v>
      </c>
      <c r="G32" s="18" t="str">
        <f>products_export!P32</f>
        <v>(display image: Devoted Heart Casket Insert)</v>
      </c>
      <c r="H32" t="str">
        <f>products_export!M32</f>
        <v>T260-2A</v>
      </c>
      <c r="I32">
        <f>products_export!N32</f>
        <v>89.95</v>
      </c>
      <c r="J32" s="7" t="str">
        <f>"img/flowers/"&amp;Data!H32&amp;".png"</f>
        <v>img/flowers/T260-2A.png</v>
      </c>
    </row>
    <row r="33" spans="1:10" x14ac:dyDescent="0.25">
      <c r="A33" t="str">
        <f>products_export!A33</f>
        <v>Distinguished Service Casket Spray</v>
      </c>
      <c r="B33" s="10" t="str">
        <f>products_export!E33</f>
        <v>Brilliant flowers such as blue hydrangea, red roses, white oriental lilies and much more create this dignified way to honor the deceased.</v>
      </c>
      <c r="C33" s="16" t="str">
        <f>products_export!H33</f>
        <v>Casket Sprays</v>
      </c>
      <c r="D33" s="15">
        <f>products_export!K33</f>
        <v>117.5</v>
      </c>
      <c r="E33" s="15">
        <f>products_export!L33</f>
        <v>60</v>
      </c>
      <c r="F33" s="10" t="str">
        <f>products_export!O33</f>
        <v>https://cdn.shopify.com/s/files/1/0790/8529/products/T240-3A.jpeg?v=1425992753</v>
      </c>
      <c r="G33" s="18" t="str">
        <f>products_export!P33</f>
        <v>(display image: Distinguished Service Casket Spray)</v>
      </c>
      <c r="H33" t="str">
        <f>products_export!M33</f>
        <v>T240-3A</v>
      </c>
      <c r="I33">
        <f>products_export!N33</f>
        <v>304.95</v>
      </c>
      <c r="J33" s="7" t="str">
        <f>"img/flowers/"&amp;Data!H33&amp;".png"</f>
        <v>img/flowers/T240-3A.png</v>
      </c>
    </row>
    <row r="34" spans="1:10" x14ac:dyDescent="0.25">
      <c r="A34" t="str">
        <f>products_export!A34</f>
        <v>Divine Grace 50-Bead Rosary</v>
      </c>
      <c r="B34" s="10" t="str">
        <f>products_export!E34</f>
        <v>A 50-bead rosary is decorated with red spray roses.</v>
      </c>
      <c r="C34" s="16" t="str">
        <f>products_export!H34</f>
        <v>Casket Sprays</v>
      </c>
      <c r="D34" s="15">
        <f>products_export!K34</f>
        <v>100</v>
      </c>
      <c r="E34" s="15">
        <f>products_export!L34</f>
        <v>60</v>
      </c>
      <c r="F34" s="10" t="str">
        <f>products_export!O34</f>
        <v>https://cdn.shopify.com/s/files/1/0790/8529/products/T260-3A.jpeg?v=1425992805</v>
      </c>
      <c r="G34" s="18" t="str">
        <f>products_export!P34</f>
        <v>(display image: Divine Grace 50-Bead Rosary)</v>
      </c>
      <c r="H34" t="str">
        <f>products_export!M34</f>
        <v>T260-3A</v>
      </c>
      <c r="I34">
        <f>products_export!N34</f>
        <v>129.94999999999999</v>
      </c>
      <c r="J34" s="7" t="str">
        <f>"img/flowers/"&amp;Data!H34&amp;".png"</f>
        <v>img/flowers/T260-3A.png</v>
      </c>
    </row>
    <row r="35" spans="1:10" x14ac:dyDescent="0.25">
      <c r="A35" t="str">
        <f>products_export!A35</f>
        <v>Divine Light</v>
      </c>
      <c r="B35" s="10" t="str">
        <f>products_export!E35</f>
        <v>Creme roses, white spray roses, oriental lilies, stock, leptosporum, cushion and button spray chrysanthemums create a cross that is a beautiful way to honor a loved one.</v>
      </c>
      <c r="C35" s="16" t="str">
        <f>products_export!H35</f>
        <v>Standing Arrangements</v>
      </c>
      <c r="D35" s="15">
        <f>products_export!K35</f>
        <v>57.5</v>
      </c>
      <c r="E35" s="15">
        <f>products_export!L35</f>
        <v>90</v>
      </c>
      <c r="F35" s="10" t="str">
        <f>products_export!O35</f>
        <v>https://cdn.shopify.com/s/files/1/0790/8529/products/T232-2A.jpeg?v=1425992732</v>
      </c>
      <c r="G35" s="18" t="str">
        <f>products_export!P35</f>
        <v>(display image: Divine Light)</v>
      </c>
      <c r="H35" t="str">
        <f>products_export!M35</f>
        <v>T232-2A</v>
      </c>
      <c r="I35">
        <f>products_export!N35</f>
        <v>229.95</v>
      </c>
      <c r="J35" s="7" t="str">
        <f>"img/flowers/"&amp;Data!H35&amp;".png"</f>
        <v>img/flowers/T232-2A.png</v>
      </c>
    </row>
    <row r="36" spans="1:10" x14ac:dyDescent="0.25">
      <c r="A36" t="str">
        <f>products_export!A36</f>
        <v>Elegant Tribute Spray</v>
      </c>
      <c r="B36" s="10" t="str">
        <f>products_export!E36</f>
        <v>A dazzling coral display of coral gladioli are arranged with pittosporum, salal and red ti leaves to create a spray of flowers that delivers beauty and strength.</v>
      </c>
      <c r="C36" s="16" t="str">
        <f>products_export!H36</f>
        <v>Standing Arrangements</v>
      </c>
      <c r="D36" s="15">
        <f>products_export!K36</f>
        <v>80</v>
      </c>
      <c r="E36" s="15">
        <f>products_export!L36</f>
        <v>92.5</v>
      </c>
      <c r="F36" s="10" t="str">
        <f>products_export!O36</f>
        <v>https://cdn.shopify.com/s/files/1/0790/8529/products/T246-1A.jpeg?v=1425992766</v>
      </c>
      <c r="G36" s="18" t="str">
        <f>products_export!P36</f>
        <v>(display image: Elegant Tribute Spray)</v>
      </c>
      <c r="H36" t="str">
        <f>products_export!M36</f>
        <v>T246-1A</v>
      </c>
      <c r="I36">
        <f>products_export!N36</f>
        <v>97.95</v>
      </c>
      <c r="J36" s="7" t="str">
        <f>"img/flowers/"&amp;Data!H36&amp;".png"</f>
        <v>img/flowers/T246-1A.png</v>
      </c>
    </row>
    <row r="37" spans="1:10" x14ac:dyDescent="0.25">
      <c r="A37" t="str">
        <f>products_export!A37</f>
        <v>Emerald Garden Basket</v>
      </c>
      <c r="B37" s="10" t="str">
        <f>products_export!E37</f>
        <v>Pothos, nephthytis, dieffenbachia, croton and peperomia plants are perfectly arranged in a distinctive willow rope basket.</v>
      </c>
      <c r="C37" s="16" t="str">
        <f>products_export!H37</f>
        <v>House Plants</v>
      </c>
      <c r="D37" s="15">
        <f>products_export!K37</f>
        <v>45</v>
      </c>
      <c r="E37" s="15">
        <f>products_export!L37</f>
        <v>45</v>
      </c>
      <c r="F37" s="10" t="str">
        <f>products_export!O37</f>
        <v>https://cdn.shopify.com/s/files/1/0790/8529/products/T106-1A.jpeg?v=1425992675</v>
      </c>
      <c r="G37" s="18" t="str">
        <f>products_export!P37</f>
        <v>(display image: Emerald Garden Basket)</v>
      </c>
      <c r="H37" t="str">
        <f>products_export!M37</f>
        <v>T106-1A</v>
      </c>
      <c r="I37">
        <f>products_export!N37</f>
        <v>59.95</v>
      </c>
      <c r="J37" s="7" t="str">
        <f>"img/flowers/"&amp;Data!H37&amp;".png"</f>
        <v>img/flowers/T106-1A.png</v>
      </c>
    </row>
    <row r="38" spans="1:10" x14ac:dyDescent="0.25">
      <c r="A38" t="str">
        <f>products_export!A38</f>
        <v>Enduring Grace</v>
      </c>
      <c r="B38" s="10" t="str">
        <f>products_export!E38</f>
        <v>Red roses, red gladioli, red carnations and white spider chrysanthemums, accented with assorted greenery. Delivered in a 14" fireside basket.</v>
      </c>
      <c r="C38" s="16" t="str">
        <f>products_export!H38</f>
        <v>Funeral Baskets</v>
      </c>
      <c r="D38" s="15">
        <f>products_export!K38</f>
        <v>90</v>
      </c>
      <c r="E38" s="15">
        <f>products_export!L38</f>
        <v>77.5</v>
      </c>
      <c r="F38" s="10" t="str">
        <f>products_export!O38</f>
        <v>https://cdn.shopify.com/s/files/1/0790/8529/products/T261-1A.jpeg?v=1425992808</v>
      </c>
      <c r="G38" s="18" t="str">
        <f>products_export!P38</f>
        <v>(display image: Enduring Grace)</v>
      </c>
      <c r="H38" t="str">
        <f>products_export!M38</f>
        <v>T261-1A</v>
      </c>
      <c r="I38">
        <f>products_export!N38</f>
        <v>109.99</v>
      </c>
      <c r="J38" s="7" t="str">
        <f>"img/flowers/"&amp;Data!H38&amp;".png"</f>
        <v>img/flowers/T261-1A.png</v>
      </c>
    </row>
    <row r="39" spans="1:10" x14ac:dyDescent="0.25">
      <c r="A39" t="str">
        <f>products_export!A39</f>
        <v>Enduring Light Casket Spray</v>
      </c>
      <c r="B39" s="10" t="str">
        <f>products_export!E39</f>
        <v>White alstroemeria, white snapdragons, white chrysanthemums, white spider chrysanthemums and million star gypsophila, accented with assorted greenery.</v>
      </c>
      <c r="C39" s="16" t="str">
        <f>products_export!H39</f>
        <v>Casket Sprays</v>
      </c>
      <c r="D39" s="15">
        <f>products_export!K39</f>
        <v>135</v>
      </c>
      <c r="E39" s="15">
        <f>products_export!L39</f>
        <v>57.5</v>
      </c>
      <c r="F39" s="10" t="str">
        <f>products_export!O39</f>
        <v>https://cdn.shopify.com/s/files/1/0790/8529/products/T264-3A.jpeg?v=1425992819</v>
      </c>
      <c r="G39" s="18" t="str">
        <f>products_export!P39</f>
        <v>(display image: Enduring Light Casket Spray)</v>
      </c>
      <c r="H39" t="str">
        <f>products_export!M39</f>
        <v>T264-3A</v>
      </c>
      <c r="I39">
        <f>products_export!N39</f>
        <v>229.95</v>
      </c>
      <c r="J39" s="7" t="str">
        <f>"img/flowers/"&amp;Data!H39&amp;".png"</f>
        <v>img/flowers/T264-3A.png</v>
      </c>
    </row>
    <row r="40" spans="1:10" x14ac:dyDescent="0.25">
      <c r="A40" t="str">
        <f>products_export!A40</f>
        <v>Ever Upward Bouquet by Teleflora</v>
      </c>
      <c r="B40" s="10" t="str">
        <f>products_export!E40</f>
        <v>_x000D_Bountiful blooms such as hot pink roses, pink spray roses, pink hybrid lilies, yellow dahlias, pink gladioli, pink and purple larkspur, huckleberry and parviflora eucalyptus.</v>
      </c>
      <c r="C40" s="16" t="str">
        <f>products_export!H40</f>
        <v>Funeral Baskets</v>
      </c>
      <c r="D40" s="15">
        <f>products_export!K40</f>
        <v>65</v>
      </c>
      <c r="E40" s="15">
        <f>products_export!L40</f>
        <v>112.5</v>
      </c>
      <c r="F40" s="10" t="str">
        <f>products_export!O40</f>
        <v>https://cdn.shopify.com/s/files/1/0790/8529/products/T218-1A.jpeg?v=1425992698</v>
      </c>
      <c r="G40" s="18" t="str">
        <f>products_export!P40</f>
        <v>(display image: Ever Upward Bouquet by Teleflora)</v>
      </c>
      <c r="H40" t="str">
        <f>products_export!M40</f>
        <v>T218-1A</v>
      </c>
      <c r="I40">
        <f>products_export!N40</f>
        <v>154.99</v>
      </c>
      <c r="J40" s="7" t="str">
        <f>"img/flowers/"&amp;Data!H40&amp;".png"</f>
        <v>img/flowers/T218-1A.png</v>
      </c>
    </row>
    <row r="41" spans="1:10" x14ac:dyDescent="0.25">
      <c r="A41" t="str">
        <f>products_export!A41</f>
        <v>Finest Farewell Spray</v>
      </c>
      <c r="B41" s="10" t="str">
        <f>products_export!E41</f>
        <v>Lavender, purple and pink blossoms including roses, larkspur, alstroemeria and more are beautifully arranged and decorated with a pretty pink organza ribbon.</v>
      </c>
      <c r="C41" s="16" t="str">
        <f>products_export!H41</f>
        <v>Standing Arrangements</v>
      </c>
      <c r="D41" s="15">
        <f>products_export!K41</f>
        <v>55</v>
      </c>
      <c r="E41" s="15">
        <f>products_export!L41</f>
        <v>125</v>
      </c>
      <c r="F41" s="10" t="str">
        <f>products_export!O41</f>
        <v>https://cdn.shopify.com/s/files/1/0790/8529/products/T248-2A.jpeg?v=1425992775</v>
      </c>
      <c r="G41" s="18" t="str">
        <f>products_export!P41</f>
        <v>(display image: Finest Farewell Spray)</v>
      </c>
      <c r="H41" t="str">
        <f>products_export!M41</f>
        <v>T248-2A</v>
      </c>
      <c r="I41">
        <f>products_export!N41</f>
        <v>197.95</v>
      </c>
      <c r="J41" s="7" t="str">
        <f>"img/flowers/"&amp;Data!H41&amp;".png"</f>
        <v>img/flowers/T248-2A.png</v>
      </c>
    </row>
    <row r="42" spans="1:10" x14ac:dyDescent="0.25">
      <c r="A42" t="str">
        <f>products_export!A42</f>
        <v>Fireside Basket</v>
      </c>
      <c r="B42" s="10" t="str">
        <f>products_export!E42</f>
        <v>Red carnations, white chrysanthemums and stock, along with eucalyptus and fern, is delivered in a willow fireside basket.</v>
      </c>
      <c r="C42" s="16" t="str">
        <f>products_export!H42</f>
        <v>Floral Baskets</v>
      </c>
      <c r="D42" s="15">
        <f>products_export!K42</f>
        <v>77.5</v>
      </c>
      <c r="E42" s="15">
        <f>products_export!L42</f>
        <v>65</v>
      </c>
      <c r="F42" s="10" t="str">
        <f>products_export!O42</f>
        <v>https://cdn.shopify.com/s/files/1/0790/8529/products/34883.jpeg?v=1425992874</v>
      </c>
      <c r="G42" s="18" t="str">
        <f>products_export!P42</f>
        <v>(display image: Fireside Basket)</v>
      </c>
      <c r="H42" t="str">
        <f>products_export!M42</f>
        <v>TF187-8</v>
      </c>
      <c r="I42">
        <f>products_export!N42</f>
        <v>118.95</v>
      </c>
      <c r="J42" s="7" t="str">
        <f>"img/flowers/"&amp;Data!H42&amp;".png"</f>
        <v>img/flowers/TF187-8.png</v>
      </c>
    </row>
    <row r="43" spans="1:10" x14ac:dyDescent="0.25">
      <c r="A43" t="str">
        <f>products_export!A43</f>
        <v>Forever Beloved - 30 Red Roses</v>
      </c>
      <c r="B43" s="10" t="str">
        <f>products_export!E43</f>
        <v>Thirty red roses in an urn vase are complemented by fragrant eucalyptus.</v>
      </c>
      <c r="C43" s="16" t="str">
        <f>products_export!H43</f>
        <v>Floral Vases</v>
      </c>
      <c r="D43" s="15">
        <f>products_export!K43</f>
        <v>50</v>
      </c>
      <c r="E43" s="15">
        <f>products_export!L43</f>
        <v>60</v>
      </c>
      <c r="F43" s="10" t="str">
        <f>products_export!O43</f>
        <v>https://cdn.shopify.com/s/files/1/0790/8529/products/T255-4A.jpeg?v=1425992794</v>
      </c>
      <c r="G43" s="18" t="str">
        <f>products_export!P43</f>
        <v>(display image: Forever Beloved - 30 Red Roses)</v>
      </c>
      <c r="H43" t="str">
        <f>products_export!M43</f>
        <v>T255-4A</v>
      </c>
      <c r="I43">
        <f>products_export!N43</f>
        <v>164.99</v>
      </c>
      <c r="J43" s="7" t="str">
        <f>"img/flowers/"&amp;Data!H43&amp;".png"</f>
        <v>img/flowers/T255-4A.png</v>
      </c>
    </row>
    <row r="44" spans="1:10" x14ac:dyDescent="0.25">
      <c r="A44" t="str">
        <f>products_export!A44</f>
        <v>Forever Yours</v>
      </c>
      <c r="B44" s="10" t="str">
        <f>products_export!E44</f>
        <v>One open-center heart arrives on an easel covered with red carnations accented with curly willow and eucalyptus.</v>
      </c>
      <c r="C44" s="16" t="str">
        <f>products_export!H44</f>
        <v>Standing Arrangements</v>
      </c>
      <c r="D44" s="15">
        <f>products_export!K44</f>
        <v>52.5</v>
      </c>
      <c r="E44" s="15">
        <f>products_export!L44</f>
        <v>70</v>
      </c>
      <c r="F44" s="10" t="str">
        <f>products_export!O44</f>
        <v>https://cdn.shopify.com/s/files/1/0790/8529/products/34993.jpeg?v=1425992903</v>
      </c>
      <c r="G44" s="18" t="str">
        <f>products_export!P44</f>
        <v>(display image: Forever Yours)</v>
      </c>
      <c r="H44" t="str">
        <f>products_export!M44</f>
        <v>TF217-3</v>
      </c>
      <c r="I44">
        <f>products_export!N44</f>
        <v>204.95</v>
      </c>
      <c r="J44" s="7" t="str">
        <f>"img/flowers/"&amp;Data!H44&amp;".png"</f>
        <v>img/flowers/TF217-3.png</v>
      </c>
    </row>
    <row r="45" spans="1:10" x14ac:dyDescent="0.25">
      <c r="A45" t="str">
        <f>products_export!A45</f>
        <v>Friendship Rose Heart</v>
      </c>
      <c r="B45" s="10" t="str">
        <f>products_export!E45</f>
        <v>One foliage-covered heart on an easel arrives decorated with a cluster of yellow roses and purple statice accented with pink ribbons.</v>
      </c>
      <c r="C45" s="16" t="str">
        <f>products_export!H45</f>
        <v>Standing Arrangements</v>
      </c>
      <c r="D45" s="15">
        <f>products_export!K45</f>
        <v>47.5</v>
      </c>
      <c r="E45" s="15">
        <f>products_export!L45</f>
        <v>55</v>
      </c>
      <c r="F45" s="10" t="str">
        <f>products_export!O45</f>
        <v>https://cdn.shopify.com/s/files/1/0790/8529/products/34949.jpg?v=1427026667</v>
      </c>
      <c r="G45" s="18" t="str">
        <f>products_export!P45</f>
        <v>(display image: Friendship Rose Heart)</v>
      </c>
      <c r="H45" t="str">
        <f>products_export!M45</f>
        <v>TF204-1</v>
      </c>
      <c r="I45">
        <f>products_export!N45</f>
        <v>103.95</v>
      </c>
      <c r="J45" s="7" t="str">
        <f>"img/flowers/"&amp;Data!H45&amp;".png"</f>
        <v>img/flowers/TF204-1.png</v>
      </c>
    </row>
    <row r="46" spans="1:10" x14ac:dyDescent="0.25">
      <c r="A46" t="str">
        <f>products_export!A46</f>
        <v>Full Heart - 16 Premium Red Roses</v>
      </c>
      <c r="B46" s="10" t="str">
        <f>products_export!E46</f>
        <v>Sixteen red roses are presented with fragrant eucalyptus in a lovely glass vase.</v>
      </c>
      <c r="C46" s="16" t="str">
        <f>products_export!H46</f>
        <v>Floral Vases</v>
      </c>
      <c r="D46" s="15">
        <f>products_export!K46</f>
        <v>40</v>
      </c>
      <c r="E46" s="15">
        <f>products_export!L46</f>
        <v>42.5</v>
      </c>
      <c r="F46" s="10" t="str">
        <f>products_export!O46</f>
        <v>https://cdn.shopify.com/s/files/1/0790/8529/products/T255-3A.jpeg?v=1425992792</v>
      </c>
      <c r="G46" s="18" t="str">
        <f>products_export!P46</f>
        <v>(display image: Full Heart - 16 Premium Red Roses)</v>
      </c>
      <c r="H46" t="str">
        <f>products_export!M46</f>
        <v>T255-3A</v>
      </c>
      <c r="I46">
        <f>products_export!N46</f>
        <v>129.99</v>
      </c>
      <c r="J46" s="7" t="str">
        <f>"img/flowers/"&amp;Data!H46&amp;".png"</f>
        <v>img/flowers/T255-3A.png</v>
      </c>
    </row>
    <row r="47" spans="1:10" x14ac:dyDescent="0.25">
      <c r="A47" t="str">
        <f>products_export!A47</f>
        <v>Funeral</v>
      </c>
      <c r="B47" s="10" t="str">
        <f>products_export!E47</f>
        <v>A wicker basket filled with flowers such as roses, carnations and calla lilies.</v>
      </c>
      <c r="C47" s="16" t="str">
        <f>products_export!H47</f>
        <v>Funeral Baskets</v>
      </c>
      <c r="D47" s="15">
        <f>products_export!K47</f>
        <v>62.5</v>
      </c>
      <c r="E47" s="15">
        <f>products_export!L47</f>
        <v>70</v>
      </c>
      <c r="F47" s="10" t="str">
        <f>products_export!O47</f>
        <v>https://cdn.shopify.com/s/files/1/0790/8529/products/S-5007.jpeg?v=1425992662</v>
      </c>
      <c r="G47" s="18" t="str">
        <f>products_export!P47</f>
        <v>(display image: Funeral)</v>
      </c>
      <c r="H47" t="str">
        <f>products_export!M47</f>
        <v>S-5007</v>
      </c>
      <c r="I47">
        <f>products_export!N47</f>
        <v>230</v>
      </c>
      <c r="J47" s="7" t="str">
        <f>"img/flowers/"&amp;Data!H47&amp;".png"</f>
        <v>img/flowers/S-5007.png</v>
      </c>
    </row>
    <row r="48" spans="1:10" x14ac:dyDescent="0.25">
      <c r="A48" t="str">
        <f>products_export!A48</f>
        <v>Garden Basket</v>
      </c>
      <c r="B48" s="10" t="str">
        <f>products_export!E48</f>
        <v>A wicker basket featuring sunflowers, lilies, and roses.</v>
      </c>
      <c r="C48" s="16" t="str">
        <f>products_export!H48</f>
        <v>Floral Baskets</v>
      </c>
      <c r="D48" s="15">
        <f>products_export!K48</f>
        <v>62.5</v>
      </c>
      <c r="E48" s="15">
        <f>products_export!L48</f>
        <v>62.5</v>
      </c>
      <c r="F48" s="10" t="str">
        <f>products_export!O48</f>
        <v>https://cdn.shopify.com/s/files/1/0790/8529/products/HF-089.jpeg?v=1425992649</v>
      </c>
      <c r="G48" s="18" t="str">
        <f>products_export!P48</f>
        <v>(display image: Garden Basket)</v>
      </c>
      <c r="H48" t="str">
        <f>products_export!M48</f>
        <v>HF-089</v>
      </c>
      <c r="I48">
        <f>products_export!N48</f>
        <v>130</v>
      </c>
      <c r="J48" s="7" t="str">
        <f>"img/flowers/"&amp;Data!H48&amp;".png"</f>
        <v>img/flowers/HF-089.png</v>
      </c>
    </row>
    <row r="49" spans="1:10" x14ac:dyDescent="0.25">
      <c r="A49" t="str">
        <f>products_export!A49</f>
        <v>Garden Cross</v>
      </c>
      <c r="B49" s="10" t="str">
        <f>products_export!E49</f>
        <v>Green hydrangea, green trick dianthus, variegated pittospourum, accented with Israeli ruscus and other assorted greenery.</v>
      </c>
      <c r="C49" s="16" t="str">
        <f>products_export!H49</f>
        <v>Standing Arrangements</v>
      </c>
      <c r="D49" s="15">
        <f>products_export!K49</f>
        <v>55</v>
      </c>
      <c r="E49" s="15">
        <f>products_export!L49</f>
        <v>87.5</v>
      </c>
      <c r="F49" s="10" t="str">
        <f>products_export!O49</f>
        <v>https://cdn.shopify.com/s/files/1/0790/8529/products/T269-2A.jpeg?v=1425992832</v>
      </c>
      <c r="G49" s="18" t="str">
        <f>products_export!P49</f>
        <v>(display image: Garden Cross)</v>
      </c>
      <c r="H49" t="str">
        <f>products_export!M49</f>
        <v>T269-2A</v>
      </c>
      <c r="I49">
        <f>products_export!N49</f>
        <v>184.95</v>
      </c>
      <c r="J49" s="7" t="str">
        <f>"img/flowers/"&amp;Data!H49&amp;".png"</f>
        <v>img/flowers/T269-2A.png</v>
      </c>
    </row>
    <row r="50" spans="1:10" x14ac:dyDescent="0.25">
      <c r="A50" t="str">
        <f>products_export!A50</f>
        <v>Garden of Grandeur Casket Spray</v>
      </c>
      <c r="B50" s="10" t="str">
        <f>products_export!E50</f>
        <v>Red roses, spray roses and carnations along with graceful white gladioli and stock are arranged beautifully with ivy and salal.</v>
      </c>
      <c r="C50" s="16" t="str">
        <f>products_export!H50</f>
        <v>Casket Sprays</v>
      </c>
      <c r="D50" s="15">
        <f>products_export!K50</f>
        <v>187.5</v>
      </c>
      <c r="E50" s="15">
        <f>products_export!L50</f>
        <v>62.5</v>
      </c>
      <c r="F50" s="10" t="str">
        <f>products_export!O50</f>
        <v>https://cdn.shopify.com/s/files/1/0790/8529/products/T226-3A.jpeg?v=1425992718</v>
      </c>
      <c r="G50" s="18" t="str">
        <f>products_export!P50</f>
        <v>(display image: Garden of Grandeur Casket Spray)</v>
      </c>
      <c r="H50" t="str">
        <f>products_export!M50</f>
        <v>T226-3A</v>
      </c>
      <c r="I50">
        <f>products_export!N50</f>
        <v>404.95</v>
      </c>
      <c r="J50" s="7" t="str">
        <f>"img/flowers/"&amp;Data!H50&amp;".png"</f>
        <v>img/flowers/T226-3A.png</v>
      </c>
    </row>
    <row r="51" spans="1:10" x14ac:dyDescent="0.25">
      <c r="A51" t="str">
        <f>products_export!A51</f>
        <v>Garden of Sweet Memories Spray</v>
      </c>
      <c r="B51" s="10" t="str">
        <f>products_export!E51</f>
        <v>Purple hydrangea, hot pink roses, peach spray roses, pink stargazer lilies, peach miniature gerberas, green gladioli, pink carnations, yellow snapdragons, lavender stock and solidago, accented with assorted greenery.</v>
      </c>
      <c r="C51" s="16" t="str">
        <f>products_export!H51</f>
        <v>Casket Sprays</v>
      </c>
      <c r="D51" s="15">
        <f>products_export!K51</f>
        <v>105</v>
      </c>
      <c r="E51" s="15">
        <f>products_export!L51</f>
        <v>50</v>
      </c>
      <c r="F51" s="10" t="str">
        <f>products_export!O51</f>
        <v>https://cdn.shopify.com/s/files/1/0790/8529/products/T267-4A.jpg?v=1426181409</v>
      </c>
      <c r="G51" s="18" t="str">
        <f>products_export!P51</f>
        <v>(display image: Garden of Sweet Memories Spray)</v>
      </c>
      <c r="H51" t="str">
        <f>products_export!M51</f>
        <v>T267-4A</v>
      </c>
      <c r="I51">
        <f>products_export!N51</f>
        <v>354.95</v>
      </c>
      <c r="J51" s="7" t="str">
        <f>"img/flowers/"&amp;Data!H51&amp;".png"</f>
        <v>img/flowers/T267-4A.png</v>
      </c>
    </row>
    <row r="52" spans="1:10" x14ac:dyDescent="0.25">
      <c r="A52" t="str">
        <f>products_export!A52</f>
        <v>Garden To Go Basket</v>
      </c>
      <c r="B52" s="10" t="str">
        <f>products_export!E52</f>
        <v>Two yellow rose potted plants and two purple-blue African violet plants are nestled in a natural Nantucket basket with handle.</v>
      </c>
      <c r="C52" s="16" t="str">
        <f>products_export!H52</f>
        <v>House Plants</v>
      </c>
      <c r="D52" s="15">
        <f>products_export!K52</f>
        <v>35</v>
      </c>
      <c r="E52" s="15">
        <f>products_export!L52</f>
        <v>32.5</v>
      </c>
      <c r="F52" s="10" t="str">
        <f>products_export!O52</f>
        <v>https://cdn.shopify.com/s/files/1/0790/8529/products/T92-2A.jpeg?v=1425992856</v>
      </c>
      <c r="G52" s="18" t="str">
        <f>products_export!P52</f>
        <v>(display image: Garden To Go Basket)</v>
      </c>
      <c r="H52" t="str">
        <f>products_export!M52</f>
        <v>T92-2A</v>
      </c>
      <c r="I52">
        <f>products_export!N52</f>
        <v>67.95</v>
      </c>
      <c r="J52" s="7" t="str">
        <f>"img/flowers/"&amp;Data!H52&amp;".png"</f>
        <v>img/flowers/T92-2A.png</v>
      </c>
    </row>
    <row r="53" spans="1:10" x14ac:dyDescent="0.25">
      <c r="A53" t="str">
        <f>products_export!A53</f>
        <v>Garden Wreath</v>
      </c>
      <c r="B53" s="10" t="str">
        <f>products_export!E53</f>
        <v>Carnations, chrysanthemums, silky green cymbidium orchid blossoms and variegated greenery.</v>
      </c>
      <c r="C53" s="16" t="str">
        <f>products_export!H53</f>
        <v>Urn Arrangements</v>
      </c>
      <c r="D53" s="15">
        <f>products_export!K53</f>
        <v>50</v>
      </c>
      <c r="E53" s="15">
        <f>products_export!L53</f>
        <v>35</v>
      </c>
      <c r="F53" s="10" t="str">
        <f>products_export!O53</f>
        <v>https://cdn.shopify.com/s/files/1/0790/8529/products/T255-1A.jpeg?v=1425992790</v>
      </c>
      <c r="G53" s="18" t="str">
        <f>products_export!P53</f>
        <v>(display image: Garden Wreath)</v>
      </c>
      <c r="H53" t="str">
        <f>products_export!M53</f>
        <v>T255-1A</v>
      </c>
      <c r="I53">
        <f>products_export!N53</f>
        <v>137.94999999999999</v>
      </c>
      <c r="J53" s="7" t="str">
        <f>"img/flowers/"&amp;Data!H53&amp;".png"</f>
        <v>img/flowers/T255-1A.png</v>
      </c>
    </row>
    <row r="54" spans="1:10" x14ac:dyDescent="0.25">
      <c r="A54" t="str">
        <f>products_export!A54</f>
        <v>Gentle Comfort Basket</v>
      </c>
      <c r="B54" s="10" t="str">
        <f>products_export!E54</f>
        <v>A blend of asters, delphinium, heather, iris and roses in a natural basket.</v>
      </c>
      <c r="C54" s="16" t="str">
        <f>products_export!H54</f>
        <v>Floral Baskets</v>
      </c>
      <c r="D54" s="15">
        <f>products_export!K54</f>
        <v>55</v>
      </c>
      <c r="E54" s="15">
        <f>products_export!L54</f>
        <v>65</v>
      </c>
      <c r="F54" s="10" t="str">
        <f>products_export!O54</f>
        <v>https://cdn.shopify.com/s/files/1/0790/8529/products/34896.jpeg?v=1425992881</v>
      </c>
      <c r="G54" s="18" t="str">
        <f>products_export!P54</f>
        <v>(display image: Gentle Comfort Basket)</v>
      </c>
      <c r="H54" t="str">
        <f>products_export!M54</f>
        <v>TF190-2</v>
      </c>
      <c r="I54">
        <f>products_export!N54</f>
        <v>74.95</v>
      </c>
      <c r="J54" s="7" t="str">
        <f>"img/flowers/"&amp;Data!H54&amp;".png"</f>
        <v>img/flowers/TF190-2.png</v>
      </c>
    </row>
    <row r="55" spans="1:10" x14ac:dyDescent="0.25">
      <c r="A55" t="str">
        <f>products_export!A55</f>
        <v>Gentle Thoughts Spray</v>
      </c>
      <c r="B55" s="10" t="str">
        <f>products_export!E55</f>
        <v>A spray of pink carnations, white spray chrysanthemums and rose accents with a pink ribbon is delivered on an easel.</v>
      </c>
      <c r="C55" s="16" t="str">
        <f>products_export!H55</f>
        <v>Standing Arrangements</v>
      </c>
      <c r="D55" s="15">
        <f>products_export!K55</f>
        <v>60</v>
      </c>
      <c r="E55" s="15">
        <f>products_export!L55</f>
        <v>105</v>
      </c>
      <c r="F55" s="10" t="str">
        <f>products_export!O55</f>
        <v>https://cdn.shopify.com/s/files/1/0790/8529/products/T12Z102A.jpg?v=1427026933</v>
      </c>
      <c r="G55" s="18" t="str">
        <f>products_export!P55</f>
        <v>(display image: Gentle Thoughts Spray)</v>
      </c>
      <c r="H55" t="str">
        <f>products_export!M55</f>
        <v>TF188-3</v>
      </c>
      <c r="I55">
        <f>products_export!N55</f>
        <v>104.95</v>
      </c>
      <c r="J55" s="7" t="str">
        <f>"img/flowers/"&amp;Data!H55&amp;".png"</f>
        <v>img/flowers/TF188-3.png</v>
      </c>
    </row>
    <row r="56" spans="1:10" x14ac:dyDescent="0.25">
      <c r="A56" t="str">
        <f>products_export!A56</f>
        <v>Gerberas and Palms Spray</v>
      </c>
      <c r="B56" s="10" t="str">
        <f>products_export!E56</f>
        <v>Red gerberas and carnations complement white orchids, snapdragons and chrysanthemums, all set against the deep greens of tropical palm leaves and ferns.</v>
      </c>
      <c r="C56" s="16" t="str">
        <f>products_export!H56</f>
        <v>Standing Arrangements</v>
      </c>
      <c r="D56" s="15">
        <f>products_export!K56</f>
        <v>65</v>
      </c>
      <c r="E56" s="15">
        <f>products_export!L56</f>
        <v>115</v>
      </c>
      <c r="F56" s="10" t="str">
        <f>products_export!O56</f>
        <v>https://cdn.shopify.com/s/files/1/0790/8529/products/T246-3A.jpeg?v=1425992769</v>
      </c>
      <c r="G56" s="18" t="str">
        <f>products_export!P56</f>
        <v>(display image: Gerberas and Palms Spray)</v>
      </c>
      <c r="H56" t="str">
        <f>products_export!M56</f>
        <v>T246-3A</v>
      </c>
      <c r="I56">
        <f>products_export!N56</f>
        <v>189.99</v>
      </c>
      <c r="J56" s="7" t="str">
        <f>"img/flowers/"&amp;Data!H56&amp;".png"</f>
        <v>img/flowers/T246-3A.png</v>
      </c>
    </row>
    <row r="57" spans="1:10" x14ac:dyDescent="0.25">
      <c r="A57" t="str">
        <f>products_export!A57</f>
        <v>Glorious Grace Bouquet</v>
      </c>
      <c r="B57" s="10" t="str">
        <f>products_export!E57</f>
        <v>Pink hydrangea, lavender roses, pink oriental lilies, yellow gerberas, yellow alstroemeria, yellow snapdragons, purple larkspur and peach stock, accented with assorted greenery.</v>
      </c>
      <c r="C57" s="16" t="str">
        <f>products_export!H57</f>
        <v>Funeral Baskets</v>
      </c>
      <c r="D57" s="15">
        <f>products_export!K57</f>
        <v>62.5</v>
      </c>
      <c r="E57" s="15">
        <f>products_export!L57</f>
        <v>77.5</v>
      </c>
      <c r="F57" s="10" t="str">
        <f>products_export!O57</f>
        <v>https://cdn.shopify.com/s/files/1/0790/8529/products/T267-2A.jpeg?v=1425992826</v>
      </c>
      <c r="G57" s="18" t="str">
        <f>products_export!P57</f>
        <v>(display image: Glorious Grace Bouquet)</v>
      </c>
      <c r="H57" t="str">
        <f>products_export!M57</f>
        <v>T267-2A</v>
      </c>
      <c r="I57">
        <f>products_export!N57</f>
        <v>139.99</v>
      </c>
      <c r="J57" s="7" t="str">
        <f>"img/flowers/"&amp;Data!H57&amp;".png"</f>
        <v>img/flowers/T267-2A.png</v>
      </c>
    </row>
    <row r="58" spans="1:10" x14ac:dyDescent="0.25">
      <c r="A58" t="str">
        <f>products_export!A58</f>
        <v>Glorious Life Wreath</v>
      </c>
      <c r="B58" s="10" t="str">
        <f>products_export!E58</f>
        <v>25 stems of light pink oriental lilies mounted on a 15" wreath base.</v>
      </c>
      <c r="C58" s="16" t="str">
        <f>products_export!H58</f>
        <v>Urn Arrangements</v>
      </c>
      <c r="D58" s="15">
        <f>products_export!K58</f>
        <v>55</v>
      </c>
      <c r="E58" s="15">
        <f>products_export!L58</f>
        <v>42.5</v>
      </c>
      <c r="F58" s="10" t="str">
        <f>products_export!O58</f>
        <v>https://cdn.shopify.com/s/files/1/0790/8529/products/T257-1A.jpeg?v=1425992796</v>
      </c>
      <c r="G58" s="18" t="str">
        <f>products_export!P58</f>
        <v>(display image: Glorious Life Wreath)</v>
      </c>
      <c r="H58" t="str">
        <f>products_export!M58</f>
        <v>T257-1A</v>
      </c>
      <c r="I58">
        <f>products_export!N58</f>
        <v>304.99</v>
      </c>
      <c r="J58" s="7" t="str">
        <f>"img/flowers/"&amp;Data!H58&amp;".png"</f>
        <v>img/flowers/T257-1A.png</v>
      </c>
    </row>
    <row r="59" spans="1:10" x14ac:dyDescent="0.25">
      <c r="A59" t="str">
        <f>products_export!A59</f>
        <v>Glorious Memories Garland</v>
      </c>
      <c r="B59" s="10" t="str">
        <f>products_export!E59</f>
        <v>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v>
      </c>
      <c r="C59" s="16" t="str">
        <f>products_export!H59</f>
        <v>Casket Sprays</v>
      </c>
      <c r="D59" s="15">
        <f>products_export!K59</f>
        <v>80</v>
      </c>
      <c r="E59" s="15">
        <f>products_export!L59</f>
        <v>20</v>
      </c>
      <c r="F59" s="10" t="str">
        <f>products_export!O59</f>
        <v>https://cdn.shopify.com/s/files/1/0790/8529/products/T267-3A.jpeg?v=1425992827</v>
      </c>
      <c r="G59" s="18" t="str">
        <f>products_export!P59</f>
        <v>(display image: Glorious Memories Garland)</v>
      </c>
      <c r="H59" t="str">
        <f>products_export!M59</f>
        <v>T267-3A</v>
      </c>
      <c r="I59">
        <f>products_export!N59</f>
        <v>79.95</v>
      </c>
      <c r="J59" s="7" t="str">
        <f>"img/flowers/"&amp;Data!H59&amp;".png"</f>
        <v>img/flowers/T267-3A.png</v>
      </c>
    </row>
    <row r="60" spans="1:10" x14ac:dyDescent="0.25">
      <c r="A60" t="str">
        <f>products_export!A60</f>
        <v>Golden Garden Casket Spray</v>
      </c>
      <c r="B60" s="10" t="str">
        <f>products_export!E60</f>
        <v>Yellow flowers such as roses, carnations, chrysanthemums, snapdragons and solidago, set with huckleberry and leatherleaf fern.</v>
      </c>
      <c r="C60" s="16" t="str">
        <f>products_export!H60</f>
        <v>Casket Sprays</v>
      </c>
      <c r="D60" s="15">
        <f>products_export!K60</f>
        <v>160</v>
      </c>
      <c r="E60" s="15">
        <f>products_export!L60</f>
        <v>40</v>
      </c>
      <c r="F60" s="10" t="str">
        <f>products_export!O60</f>
        <v>https://cdn.shopify.com/s/files/1/0790/8529/products/T243-1A.jpeg?v=1425992760</v>
      </c>
      <c r="G60" s="18" t="str">
        <f>products_export!P60</f>
        <v>(display image: Golden Garden Casket Spray)</v>
      </c>
      <c r="H60" t="str">
        <f>products_export!M60</f>
        <v>T243-1A</v>
      </c>
      <c r="I60">
        <f>products_export!N60</f>
        <v>455</v>
      </c>
      <c r="J60" s="7" t="str">
        <f>"img/flowers/"&amp;Data!H60&amp;".png"</f>
        <v>img/flowers/T243-1A.png</v>
      </c>
    </row>
    <row r="61" spans="1:10" x14ac:dyDescent="0.25">
      <c r="A61" t="str">
        <f>products_export!A61</f>
        <v>Graceful Grandeur Casket Spray</v>
      </c>
      <c r="B61" s="10" t="str">
        <f>products_export!E61</f>
        <v>Yellow blossoms such as roses, gladioli, chrysanthemums and more are perfectly arranged in this lovely casket spray.</v>
      </c>
      <c r="C61" s="16" t="str">
        <f>products_export!H61</f>
        <v>Casket Sprays</v>
      </c>
      <c r="D61" s="15">
        <f>products_export!K61</f>
        <v>110</v>
      </c>
      <c r="E61" s="15">
        <f>products_export!L61</f>
        <v>55</v>
      </c>
      <c r="F61" s="10" t="str">
        <f>products_export!O61</f>
        <v>https://cdn.shopify.com/s/files/1/0790/8529/products/T242-1A.jpeg?v=1425992755</v>
      </c>
      <c r="G61" s="18" t="str">
        <f>products_export!P61</f>
        <v>(display image: Graceful Grandeur Casket Spray)</v>
      </c>
      <c r="H61" t="str">
        <f>products_export!M60</f>
        <v>T243-1A</v>
      </c>
      <c r="I61">
        <f>products_export!N61</f>
        <v>204.95</v>
      </c>
      <c r="J61" s="7" t="str">
        <f>"img/flowers/"&amp;Data!H61&amp;".png"</f>
        <v>img/flowers/T243-1A.png</v>
      </c>
    </row>
    <row r="62" spans="1:10" x14ac:dyDescent="0.25">
      <c r="A62" t="str">
        <f>products_export!A62</f>
        <v>Graceful Tribute Heart</v>
      </c>
      <c r="B62" s="10" t="str">
        <f>products_export!E62</f>
        <v>This heart-shaped spray with its purple and blue flowers, covered with lavender roses, blue iris and hydrangea and purple chrysanthemums and arrives on an easel.</v>
      </c>
      <c r="C62" s="16" t="str">
        <f>products_export!H62</f>
        <v>Standing Arrangements</v>
      </c>
      <c r="D62" s="15">
        <f>products_export!K62</f>
        <v>50</v>
      </c>
      <c r="E62" s="15">
        <f>products_export!L62</f>
        <v>50</v>
      </c>
      <c r="F62" s="10" t="str">
        <f>products_export!O62</f>
        <v>https://cdn.shopify.com/s/files/1/0790/8529/products/34932.jpeg?v=1425992889</v>
      </c>
      <c r="G62" s="18" t="str">
        <f>products_export!P62</f>
        <v>(display image: Graceful Tribute Heart)</v>
      </c>
      <c r="H62" t="str">
        <f>products_export!M61</f>
        <v>T242-1A</v>
      </c>
      <c r="I62">
        <f>products_export!N62</f>
        <v>209.95</v>
      </c>
      <c r="J62" s="7" t="str">
        <f>"img/flowers/"&amp;Data!H62&amp;".png"</f>
        <v>img/flowers/T242-1A.png</v>
      </c>
    </row>
    <row r="63" spans="1:10" x14ac:dyDescent="0.25">
      <c r="A63" t="str">
        <f>products_export!A63</f>
        <v>Graceful Wreath</v>
      </c>
      <c r="B63" s="10" t="str">
        <f>products_export!E63</f>
        <v>Pastel blooms highlighted with a pink satin ribbon. &gt;_x000D_Peach roses, gerberas and carnations, pink asiatic lilies and lisianthus, along with purple limonium and lavender larkspur - accented by greens woven throughout - are presented on an easel-mounted wreath.</v>
      </c>
      <c r="C63" s="16" t="str">
        <f>products_export!H63</f>
        <v>Standing Arrangements</v>
      </c>
      <c r="D63" s="15">
        <f>products_export!K63</f>
        <v>57.5</v>
      </c>
      <c r="E63" s="15">
        <f>products_export!L63</f>
        <v>57.5</v>
      </c>
      <c r="F63" s="10" t="str">
        <f>products_export!O63</f>
        <v>https://cdn.shopify.com/s/files/1/0790/8529/products/T239-1A.jpeg?v=1425992746</v>
      </c>
      <c r="G63" s="18" t="str">
        <f>products_export!P63</f>
        <v>(display image: Graceful Wreath)</v>
      </c>
      <c r="H63" t="str">
        <f>products_export!M62</f>
        <v>TF201-2</v>
      </c>
      <c r="I63">
        <f>products_export!N63</f>
        <v>279.99</v>
      </c>
      <c r="J63" s="7" t="str">
        <f>"img/flowers/"&amp;Data!H63&amp;".png"</f>
        <v>img/flowers/TF201-2.png</v>
      </c>
    </row>
    <row r="64" spans="1:10" x14ac:dyDescent="0.25">
      <c r="A64" t="str">
        <f>products_export!A64</f>
        <v>Gracious Lavender Basket</v>
      </c>
      <c r="B64" s="10" t="str">
        <f>products_export!E64</f>
        <v>A profusion of purple, pink and lavender blooms such as roses, carnations, larkspur, matsumoto and monte cassino asters and much more are delivered in a round wicker basket.</v>
      </c>
      <c r="C64" s="16" t="str">
        <f>products_export!H64</f>
        <v>Funeral Baskets</v>
      </c>
      <c r="D64" s="15">
        <f>products_export!K64</f>
        <v>62.5</v>
      </c>
      <c r="E64" s="15">
        <f>products_export!L64</f>
        <v>70</v>
      </c>
      <c r="F64" s="10" t="str">
        <f>products_export!O64</f>
        <v>https://cdn.shopify.com/s/files/1/0790/8529/products/T235-1A.jpeg?v=1425992737</v>
      </c>
      <c r="G64" s="18" t="str">
        <f>products_export!P64</f>
        <v>(display image: Gracious Lavender Basket)</v>
      </c>
      <c r="H64" t="str">
        <f>products_export!M63</f>
        <v>T239-1A</v>
      </c>
      <c r="I64">
        <f>products_export!N64</f>
        <v>119.95</v>
      </c>
      <c r="J64" s="7" t="str">
        <f>"img/flowers/"&amp;Data!H64&amp;".png"</f>
        <v>img/flowers/T239-1A.png</v>
      </c>
    </row>
    <row r="65" spans="1:10" x14ac:dyDescent="0.25">
      <c r="A65" t="str">
        <f>products_export!A65</f>
        <v>Greatest Love Casket Spray</v>
      </c>
      <c r="B65" s="10" t="str">
        <f>products_export!E65</f>
        <v>A loving embrace of 8-DOZEN rich, regal roses in an all-red spray to adorn the casket.</v>
      </c>
      <c r="C65" s="16" t="str">
        <f>products_export!H65</f>
        <v>Casket Sprays</v>
      </c>
      <c r="D65" s="15">
        <f>products_export!K65</f>
        <v>155</v>
      </c>
      <c r="E65" s="15">
        <f>products_export!L65</f>
        <v>55</v>
      </c>
      <c r="F65" s="10" t="str">
        <f>products_export!O65</f>
        <v>https://cdn.shopify.com/s/files/1/0790/8529/products/T223-1A.jpeg?v=1425992710</v>
      </c>
      <c r="G65" s="18" t="str">
        <f>products_export!P65</f>
        <v>(display image: Greatest Love Casket Spray)</v>
      </c>
      <c r="H65" t="str">
        <f>products_export!M64</f>
        <v>T235-1A</v>
      </c>
      <c r="I65">
        <f>products_export!N65</f>
        <v>504.95</v>
      </c>
      <c r="J65" s="7" t="str">
        <f>"img/flowers/"&amp;Data!H65&amp;".png"</f>
        <v>img/flowers/T235-1A.png</v>
      </c>
    </row>
    <row r="66" spans="1:10" x14ac:dyDescent="0.25">
      <c r="A66" t="str">
        <f>products_export!A66</f>
        <v>Hansen's Green orchid</v>
      </c>
      <c r="B66" s="10" t="str">
        <f>products_export!E66</f>
        <v>A graceful standing wreath featuring green orchids, white gerbera daisies, and other soft colored flowers.</v>
      </c>
      <c r="C66" s="16" t="str">
        <f>products_export!H66</f>
        <v>Standing Arrangements</v>
      </c>
      <c r="D66" s="15">
        <f>products_export!K66</f>
        <v>67.5</v>
      </c>
      <c r="E66" s="15">
        <f>products_export!L66</f>
        <v>67.5</v>
      </c>
      <c r="F66" s="10" t="str">
        <f>products_export!O66</f>
        <v>https://cdn.shopify.com/s/files/1/0790/8529/products/HFS-8078.jpeg?v=1425992659</v>
      </c>
      <c r="G66" s="18" t="str">
        <f>products_export!P66</f>
        <v>(display image: Hansen's Green orchid)</v>
      </c>
      <c r="H66" t="str">
        <f>products_export!M65</f>
        <v>T223-1A</v>
      </c>
      <c r="I66">
        <f>products_export!N66</f>
        <v>280</v>
      </c>
      <c r="J66" s="7" t="str">
        <f>"img/flowers/"&amp;Data!H66&amp;".png"</f>
        <v>img/flowers/T223-1A.png</v>
      </c>
    </row>
    <row r="67" spans="1:10" x14ac:dyDescent="0.25">
      <c r="A67" t="str">
        <f>products_export!A67</f>
        <v>Hansen's White Elegance</v>
      </c>
      <c r="B67" s="10" t="str">
        <f>products_export!E67</f>
        <v>A traditional standing cross in all white with a burst of red roses in the center.</v>
      </c>
      <c r="C67" s="16" t="str">
        <f>products_export!H67</f>
        <v>Standing Arrangements</v>
      </c>
      <c r="D67" s="15">
        <f>products_export!K67</f>
        <v>70</v>
      </c>
      <c r="E67" s="15">
        <f>products_export!L67</f>
        <v>92.5</v>
      </c>
      <c r="F67" s="10" t="str">
        <f>products_export!O67</f>
        <v>https://cdn.shopify.com/s/files/1/0790/8529/products/HFS-8070.jpeg?v=1425992658</v>
      </c>
      <c r="G67" s="18" t="str">
        <f>products_export!P67</f>
        <v>(display image: Hansen's White Elegance)</v>
      </c>
      <c r="H67" t="str">
        <f>products_export!M66</f>
        <v>HFS-8078</v>
      </c>
      <c r="I67">
        <f>products_export!N67</f>
        <v>279.99</v>
      </c>
      <c r="J67" s="7" t="str">
        <f>"img/flowers/"&amp;Data!H67&amp;".png"</f>
        <v>img/flowers/HFS-8078.png</v>
      </c>
    </row>
    <row r="68" spans="1:10" x14ac:dyDescent="0.25">
      <c r="A68" t="str">
        <f>products_export!A68</f>
        <v>Happy Hydrangea</v>
      </c>
      <c r="B68" s="10" t="str">
        <f>products_export!E68</f>
        <v>_x000D_A beautiful blue hydrangea plant presented in a white ceramic planter</v>
      </c>
      <c r="C68" s="16" t="str">
        <f>products_export!H68</f>
        <v>House Plants</v>
      </c>
      <c r="D68" s="15">
        <f>products_export!K68</f>
        <v>40</v>
      </c>
      <c r="E68" s="15">
        <f>products_export!L68</f>
        <v>45</v>
      </c>
      <c r="F68" s="10" t="str">
        <f>products_export!O68</f>
        <v>https://cdn.shopify.com/s/files/1/0790/8529/products/T89-2A.jpeg?v=1425992854</v>
      </c>
      <c r="G68" s="18" t="str">
        <f>products_export!P68</f>
        <v>(display image: Happy Hydrangea)</v>
      </c>
      <c r="H68" t="str">
        <f>products_export!M67</f>
        <v>HFS-8070</v>
      </c>
      <c r="I68">
        <f>products_export!N68</f>
        <v>67.95</v>
      </c>
      <c r="J68" s="7" t="str">
        <f>"img/flowers/"&amp;Data!H68&amp;".png"</f>
        <v>img/flowers/HFS-8070.png</v>
      </c>
    </row>
    <row r="69" spans="1:10" x14ac:dyDescent="0.25">
      <c r="A69" t="str">
        <f>products_export!A69</f>
        <v>Heartfelt Remembrance</v>
      </c>
      <c r="B69" s="10" t="str">
        <f>products_export!E69</f>
        <v>Two hearts together in a standing spray in rich, complementary shades of dark purple and lavender. Roses, cushion and button spray chrysanthemums and carnations in shades of dark purple and lavender, and adorned with a matching ribbon is delivered on an easel.</v>
      </c>
      <c r="C69" s="16" t="str">
        <f>products_export!H69</f>
        <v>Standing Arrangements</v>
      </c>
      <c r="D69" s="15">
        <f>products_export!K69</f>
        <v>65</v>
      </c>
      <c r="E69" s="15">
        <f>products_export!L69</f>
        <v>55</v>
      </c>
      <c r="F69" s="10" t="str">
        <f>products_export!O69</f>
        <v>https://cdn.shopify.com/s/files/1/0790/8529/products/260138_c3b67686-230e-453b-ad7a-4ea02b167e51.jpeg?v=1425992912</v>
      </c>
      <c r="G69" s="18" t="str">
        <f>products_export!P69</f>
        <v>(display image: Heartfelt Remembrance)</v>
      </c>
      <c r="H69" t="str">
        <f>products_export!M68</f>
        <v>T89-2A</v>
      </c>
      <c r="I69">
        <f>products_export!N69</f>
        <v>197.95</v>
      </c>
      <c r="J69" s="7" t="str">
        <f>"img/flowers/"&amp;Data!H69&amp;".png"</f>
        <v>img/flowers/T89-2A.png</v>
      </c>
    </row>
    <row r="70" spans="1:10" x14ac:dyDescent="0.25">
      <c r="A70" t="str">
        <f>products_export!A70</f>
        <v>Heart's Companion Bouquet</v>
      </c>
      <c r="B70" s="10" t="str">
        <f>products_export!E70</f>
        <v>An opulent bouquet consisting of orange roses, orange asiatic lilies, green anthuriums, red gerberas, red gladioli and green carnations, accented with assorted greenery. It is delivered in a large bamboo cube.</v>
      </c>
      <c r="C70" s="16" t="str">
        <f>products_export!H70</f>
        <v>Funeral Baskets</v>
      </c>
      <c r="D70" s="15">
        <f>products_export!K70</f>
        <v>52.5</v>
      </c>
      <c r="E70" s="15">
        <f>products_export!L70</f>
        <v>97.5</v>
      </c>
      <c r="F70" s="10" t="str">
        <f>products_export!O70</f>
        <v>https://cdn.shopify.com/s/files/1/0790/8529/products/T273-1A.jpeg?v=1425992840</v>
      </c>
      <c r="G70" s="18" t="str">
        <f>products_export!P70</f>
        <v>(display image: Heart's Companion Bouquet)</v>
      </c>
      <c r="H70" t="str">
        <f>products_export!M69</f>
        <v>TFWEB542</v>
      </c>
      <c r="I70">
        <f>products_export!N70</f>
        <v>134.99</v>
      </c>
      <c r="J70" s="7" t="str">
        <f>"img/flowers/"&amp;Data!H70&amp;".png"</f>
        <v>img/flowers/TFWEB542.png</v>
      </c>
    </row>
    <row r="71" spans="1:10" x14ac:dyDescent="0.25">
      <c r="A71" t="str">
        <f>products_export!A71</f>
        <v>Heartwarming Thoughts Boston Fern</v>
      </c>
      <c r="B71" s="10" t="str">
        <f>products_export!E71</f>
        <v>A lush Boston fern plant delivered in a classic Gardens of Grace container.</v>
      </c>
      <c r="C71" s="16" t="str">
        <f>products_export!H71</f>
        <v>House Plants</v>
      </c>
      <c r="D71" s="15">
        <f>products_export!K71</f>
        <v>82.5</v>
      </c>
      <c r="E71" s="15">
        <f>products_export!L71</f>
        <v>55</v>
      </c>
      <c r="F71" s="10" t="str">
        <f>products_export!O71</f>
        <v>https://cdn.shopify.com/s/files/1/0790/8529/products/T272-2A.jpeg?v=1425992838</v>
      </c>
      <c r="G71" s="18" t="str">
        <f>products_export!P71</f>
        <v>(display image: Heartwarming Thoughts Boston Fern)</v>
      </c>
      <c r="H71" t="str">
        <f>products_export!M70</f>
        <v>T273-1A</v>
      </c>
      <c r="I71">
        <f>products_export!N71</f>
        <v>74.989999999999995</v>
      </c>
      <c r="J71" s="7" t="str">
        <f>"img/flowers/"&amp;Data!H71&amp;".png"</f>
        <v>img/flowers/T273-1A.png</v>
      </c>
    </row>
    <row r="72" spans="1:10" x14ac:dyDescent="0.25">
      <c r="A72" t="str">
        <f>products_export!A72</f>
        <v>Heavenly Grace Spray</v>
      </c>
      <c r="B72" s="10" t="str">
        <f>products_export!E72</f>
        <v>A lovely assortment of flowers such as pink roses, larkspur, asiatic lilies, gerberas and sinuata statice, with peach roses and carnations, purple stock and limonium, and bells of Ireland on a classic easel.</v>
      </c>
      <c r="C72" s="16" t="str">
        <f>products_export!H72</f>
        <v>Standing Arrangements</v>
      </c>
      <c r="D72" s="15">
        <f>products_export!K72</f>
        <v>57.5</v>
      </c>
      <c r="E72" s="15">
        <f>products_export!L72</f>
        <v>75</v>
      </c>
      <c r="F72" s="10" t="str">
        <f>products_export!O72</f>
        <v>https://cdn.shopify.com/s/files/1/0790/8529/products/T248-1A.jpeg?v=1425992773</v>
      </c>
      <c r="G72" s="18" t="str">
        <f>products_export!P72</f>
        <v>(display image: Heavenly Grace Spray)</v>
      </c>
      <c r="H72" t="str">
        <f>products_export!M71</f>
        <v>T272-2A</v>
      </c>
      <c r="I72">
        <f>products_export!N72</f>
        <v>162.94999999999999</v>
      </c>
      <c r="J72" s="7" t="str">
        <f>"img/flowers/"&amp;Data!H72&amp;".png"</f>
        <v>img/flowers/T272-2A.png</v>
      </c>
    </row>
    <row r="73" spans="1:10" x14ac:dyDescent="0.25">
      <c r="A73" t="str">
        <f>products_export!A73</f>
        <v>Heavenly Heart</v>
      </c>
      <c r="B73" s="10" t="str">
        <f>products_export!E73</f>
        <v>One solid-flower heart arrives on an easel decorated with nosegay of pink, white and blue flowers mounted in the center.</v>
      </c>
      <c r="C73" s="16" t="str">
        <f>products_export!H73</f>
        <v>Standing Arrangements</v>
      </c>
      <c r="D73" s="15">
        <f>products_export!K73</f>
        <v>35</v>
      </c>
      <c r="E73" s="15">
        <f>products_export!L73</f>
        <v>45</v>
      </c>
      <c r="F73" s="10" t="str">
        <f>products_export!O73</f>
        <v>https://cdn.shopify.com/s/files/1/0790/8529/products/35004.jpeg?v=1425992905</v>
      </c>
      <c r="G73" s="18" t="str">
        <f>products_export!P73</f>
        <v>(display image: Heavenly Heart)</v>
      </c>
      <c r="H73" t="str">
        <f>products_export!M72</f>
        <v>T248-1A</v>
      </c>
      <c r="I73">
        <f>products_export!N73</f>
        <v>154.94999999999999</v>
      </c>
      <c r="J73" s="7" t="str">
        <f>"img/flowers/"&amp;Data!H73&amp;".png"</f>
        <v>img/flowers/T248-1A.png</v>
      </c>
    </row>
    <row r="74" spans="1:10" x14ac:dyDescent="0.25">
      <c r="A74" t="str">
        <f>products_export!A74</f>
        <v>Heavenly Heights Bouquet</v>
      </c>
      <c r="B74" s="10" t="str">
        <f>products_export!E74</f>
        <v>A mix of fresh pink blossoms like gladioli, alstroemeria, carnations and more are lovingly arranged in a white basket.</v>
      </c>
      <c r="C74" s="16" t="str">
        <f>products_export!H74</f>
        <v>Funeral Baskets</v>
      </c>
      <c r="D74" s="15">
        <f>products_export!K74</f>
        <v>57.5</v>
      </c>
      <c r="E74" s="15">
        <f>products_export!L74</f>
        <v>82.5</v>
      </c>
      <c r="F74" s="10" t="str">
        <f>products_export!O74</f>
        <v>https://cdn.shopify.com/s/files/1/0790/8529/products/T221-4A.jpeg?v=1425992709</v>
      </c>
      <c r="G74" s="18" t="str">
        <f>products_export!P74</f>
        <v>(display image: Heavenly Heights Bouquet)</v>
      </c>
      <c r="H74" t="str">
        <f>products_export!M73</f>
        <v>TF220-3</v>
      </c>
      <c r="I74">
        <f>products_export!N74</f>
        <v>79.95</v>
      </c>
      <c r="J74" s="7" t="str">
        <f>"img/flowers/"&amp;Data!H74&amp;".png"</f>
        <v>img/flowers/TF220-3.png</v>
      </c>
    </row>
    <row r="75" spans="1:10" x14ac:dyDescent="0.25">
      <c r="A75" t="str">
        <f>products_export!A75</f>
        <v>Heavenly Light</v>
      </c>
      <c r="B75" s="10" t="str">
        <f>products_export!E75</f>
        <v>White spray roses and white asiatic lilies accented with salal. Delivered in a natural pot basket.</v>
      </c>
      <c r="C75" s="16" t="str">
        <f>products_export!H75</f>
        <v>Funeral Baskets</v>
      </c>
      <c r="D75" s="15">
        <f>products_export!K75</f>
        <v>65</v>
      </c>
      <c r="E75" s="15">
        <f>products_export!L75</f>
        <v>72.5</v>
      </c>
      <c r="F75" s="10" t="str">
        <f>products_export!O75</f>
        <v>https://cdn.shopify.com/s/files/1/0790/8529/products/T262-2A.jpeg?v=1425992812</v>
      </c>
      <c r="G75" s="18" t="str">
        <f>products_export!P75</f>
        <v>(display image: Heavenly Light)</v>
      </c>
      <c r="H75" t="str">
        <f>products_export!M74</f>
        <v>T221-4A</v>
      </c>
      <c r="I75">
        <f>products_export!N75</f>
        <v>129.99</v>
      </c>
      <c r="J75" s="7" t="str">
        <f>"img/flowers/"&amp;Data!H75&amp;".png"</f>
        <v>img/flowers/T221-4A.png</v>
      </c>
    </row>
    <row r="76" spans="1:10" x14ac:dyDescent="0.25">
      <c r="A76" t="str">
        <f>products_export!A76</f>
        <v>Heavenly Sentiments Spray</v>
      </c>
      <c r="B76" s="10" t="str">
        <f>products_export!E76</f>
        <v>Fresh roses and opulent blooms such as orchids and gladioli - in celestial colors of green, purple and lavender - create a fine and appropriate floral standing spray. Fresh flowers such as gladioli, roses, dendrobium orchids and hydrangea - in shades of green, purple and lavender, delivered on an easel.</v>
      </c>
      <c r="C76" s="16" t="str">
        <f>products_export!H76</f>
        <v>Standing Arrangements</v>
      </c>
      <c r="D76" s="15">
        <f>products_export!K76</f>
        <v>60</v>
      </c>
      <c r="E76" s="15">
        <f>products_export!L76</f>
        <v>87.5</v>
      </c>
      <c r="F76" s="10" t="str">
        <f>products_export!O76</f>
        <v>https://cdn.shopify.com/s/files/1/0790/8529/products/T247-2A.jpeg?v=1425992772</v>
      </c>
      <c r="G76" s="18" t="str">
        <f>products_export!P76</f>
        <v>(display image: Heavenly Sentiments Spray)</v>
      </c>
      <c r="H76" t="str">
        <f>products_export!M75</f>
        <v>T262-2A</v>
      </c>
      <c r="I76">
        <f>products_export!N76</f>
        <v>197.95</v>
      </c>
      <c r="J76" s="7" t="str">
        <f>"img/flowers/"&amp;Data!H76&amp;".png"</f>
        <v>img/flowers/T262-2A.png</v>
      </c>
    </row>
    <row r="77" spans="1:10" x14ac:dyDescent="0.25">
      <c r="A77" t="str">
        <f>products_export!A77</f>
        <v>Heaven's Comfort</v>
      </c>
      <c r="B77" s="10" t="str">
        <f>products_export!E77</f>
        <v>Green hydrangea along with a dazzling mix of exotic green flowers and leaves create a beautiful and textured cross, delivered on an easel.</v>
      </c>
      <c r="C77" s="16" t="str">
        <f>products_export!H77</f>
        <v>Standing Arrangements</v>
      </c>
      <c r="D77" s="15">
        <f>products_export!K77</f>
        <v>55</v>
      </c>
      <c r="E77" s="15">
        <f>products_export!L77</f>
        <v>87.5</v>
      </c>
      <c r="F77" s="10" t="str">
        <f>products_export!O77</f>
        <v>https://cdn.shopify.com/s/files/1/0790/8529/products/T247-1A.jpeg?v=1425992771</v>
      </c>
      <c r="G77" s="18" t="str">
        <f>products_export!P77</f>
        <v>(display image: Heaven's Comfort)</v>
      </c>
      <c r="H77" t="str">
        <f>products_export!M76</f>
        <v>T247-2A</v>
      </c>
      <c r="I77">
        <f>products_export!N77</f>
        <v>202.95</v>
      </c>
      <c r="J77" s="7" t="str">
        <f>"img/flowers/"&amp;Data!H77&amp;".png"</f>
        <v>img/flowers/T247-2A.png</v>
      </c>
    </row>
    <row r="78" spans="1:10" x14ac:dyDescent="0.25">
      <c r="A78" t="str">
        <f>products_export!A78</f>
        <v>Hope and Harmony Spray</v>
      </c>
      <c r="B78" s="10" t="str">
        <f>products_export!E78</f>
        <v>A spray of pink carnations, peach gerberas, yellow gladioli, blue iris and lavender Monte Cassino asters, delivered on an easel.</v>
      </c>
      <c r="C78" s="16" t="str">
        <f>products_export!H78</f>
        <v>Standing Arrangements</v>
      </c>
      <c r="D78" s="15">
        <f>products_export!K78</f>
        <v>82.5</v>
      </c>
      <c r="E78" s="15">
        <f>products_export!L78</f>
        <v>110</v>
      </c>
      <c r="F78" s="10" t="str">
        <f>products_export!O78</f>
        <v>https://cdn.shopify.com/s/files/1/0790/8529/products/34889.jpeg?v=1425992877</v>
      </c>
      <c r="G78" s="18" t="str">
        <f>products_export!P78</f>
        <v>(display image: Hope and Harmony Spray)</v>
      </c>
      <c r="H78" t="str">
        <f>products_export!M77</f>
        <v>T247-1A</v>
      </c>
      <c r="I78">
        <f>products_export!N78</f>
        <v>149.94999999999999</v>
      </c>
      <c r="J78" s="7" t="str">
        <f>"img/flowers/"&amp;Data!H78&amp;".png"</f>
        <v>img/flowers/T247-1A.png</v>
      </c>
    </row>
    <row r="79" spans="1:10" x14ac:dyDescent="0.25">
      <c r="A79" t="str">
        <f>products_export!A79</f>
        <v>Hope and Honor Basket</v>
      </c>
      <c r="B79" s="10" t="str">
        <f>products_export!E79</f>
        <v>A classic mixture of red and white carnations in a traditional white funeral basket.</v>
      </c>
      <c r="C79" s="16" t="str">
        <f>products_export!H79</f>
        <v>Funeral Baskets</v>
      </c>
      <c r="D79" s="15">
        <f>products_export!K79</f>
        <v>70</v>
      </c>
      <c r="E79" s="15">
        <f>products_export!L79</f>
        <v>82.5</v>
      </c>
      <c r="F79" s="10" t="str">
        <f>products_export!O79</f>
        <v>https://cdn.shopify.com/s/files/1/0790/8529/products/34955.jpeg?v=1425992893</v>
      </c>
      <c r="G79" s="18" t="str">
        <f>products_export!P79</f>
        <v>(display image: Hope and Honor Basket)</v>
      </c>
      <c r="H79" t="str">
        <f>products_export!M78</f>
        <v>TF189-3A</v>
      </c>
      <c r="I79">
        <f>products_export!N79</f>
        <v>89.95</v>
      </c>
      <c r="J79" s="7" t="str">
        <f>"img/flowers/"&amp;Data!H79&amp;".png"</f>
        <v>img/flowers/TF189-3A.png</v>
      </c>
    </row>
    <row r="80" spans="1:10" x14ac:dyDescent="0.25">
      <c r="A80" t="str">
        <f>products_export!A80</f>
        <v>Hope and Honor Cross</v>
      </c>
      <c r="B80" s="10" t="str">
        <f>products_export!E80</f>
        <v>One white chrysanthemum solid-flower cross on an easel arrives decorated with a cluster of red carnations.</v>
      </c>
      <c r="C80" s="16" t="str">
        <f>products_export!H80</f>
        <v>Standing Arrangements</v>
      </c>
      <c r="D80" s="15">
        <f>products_export!K80</f>
        <v>65</v>
      </c>
      <c r="E80" s="15">
        <f>products_export!L80</f>
        <v>87.5</v>
      </c>
      <c r="F80" s="10" t="str">
        <f>products_export!O80</f>
        <v>https://cdn.shopify.com/s/files/1/0790/8529/products/34958.jpeg?v=1425992895</v>
      </c>
      <c r="G80" s="18" t="str">
        <f>products_export!P80</f>
        <v>(display image: Hope and Honor Cross)</v>
      </c>
      <c r="H80" t="str">
        <f>products_export!M79</f>
        <v>TF206-1</v>
      </c>
      <c r="I80">
        <f>products_export!N80</f>
        <v>154.94999999999999</v>
      </c>
      <c r="J80" s="7" t="str">
        <f>"img/flowers/"&amp;Data!H80&amp;".png"</f>
        <v>img/flowers/TF206-1.png</v>
      </c>
    </row>
    <row r="81" spans="1:10" x14ac:dyDescent="0.25">
      <c r="A81" t="str">
        <f>products_export!A81</f>
        <v>Hope and Honor Wreath</v>
      </c>
      <c r="B81" s="10" t="str">
        <f>products_export!E81</f>
        <v>Vivid red and white carnations cover the circular wreath mounted on an easel.</v>
      </c>
      <c r="C81" s="16" t="str">
        <f>products_export!H81</f>
        <v>Standing Arrangements</v>
      </c>
      <c r="D81" s="15">
        <f>products_export!K81</f>
        <v>62.5</v>
      </c>
      <c r="E81" s="15">
        <f>products_export!L81</f>
        <v>62.5</v>
      </c>
      <c r="F81" s="10" t="str">
        <f>products_export!O81</f>
        <v>https://cdn.shopify.com/s/files/1/0790/8529/products/34960.jpeg?v=1425992896</v>
      </c>
      <c r="G81" s="18" t="str">
        <f>products_export!P81</f>
        <v>(display image: Hope and Honor Wreath)</v>
      </c>
      <c r="H81" t="str">
        <f>products_export!M80</f>
        <v>TF206-4</v>
      </c>
      <c r="I81">
        <f>products_export!N81</f>
        <v>174.95</v>
      </c>
      <c r="J81" s="7" t="str">
        <f>"img/flowers/"&amp;Data!H81&amp;".png"</f>
        <v>img/flowers/TF206-4.png</v>
      </c>
    </row>
    <row r="82" spans="1:10" x14ac:dyDescent="0.25">
      <c r="A82" t="str">
        <f>products_export!A82</f>
        <v>Imagination Blooms with Cymbidiums</v>
      </c>
      <c r="B82" s="10" t="str">
        <f>products_export!E82</f>
        <v>_x000D_Peaceful flowers such as pink asiatic lilies, pink roses and pink cymbidium orchids are presented with variegated ti leaves, bear grass and curly willow.</v>
      </c>
      <c r="C82" s="16" t="str">
        <f>products_export!H82</f>
        <v>House Plants</v>
      </c>
      <c r="D82" s="15">
        <f>products_export!K82</f>
        <v>45</v>
      </c>
      <c r="E82" s="15">
        <f>products_export!L82</f>
        <v>67.5</v>
      </c>
      <c r="F82" s="10" t="str">
        <f>products_export!O82</f>
        <v>https://cdn.shopify.com/s/files/1/0790/8529/products/T256-1A.jpeg?v=1425992795</v>
      </c>
      <c r="G82" s="18" t="str">
        <f>products_export!P82</f>
        <v>(display image: Imagination Blooms with Cymbidiums)</v>
      </c>
      <c r="H82" t="str">
        <f>products_export!M81</f>
        <v>TF207-2</v>
      </c>
      <c r="I82">
        <f>products_export!N82</f>
        <v>99.99</v>
      </c>
      <c r="J82" s="7" t="str">
        <f>"img/flowers/"&amp;Data!H82&amp;".png"</f>
        <v>img/flowers/TF207-2.png</v>
      </c>
    </row>
    <row r="83" spans="1:10" x14ac:dyDescent="0.25">
      <c r="A83" t="str">
        <f>products_export!A83</f>
        <v>In Memoriam Wreath</v>
      </c>
      <c r="B83" s="10" t="str">
        <f>products_export!E83</f>
        <v xml:space="preserve">A mix of dramatic flowers such as purple orchids and asters, orange, dark pink and lavender roses, pink and peach carnations, lavender larkspur, green chrysanthemums, and a range of pink blooms including oriental lilies, gerberas, snapdragons and more. </v>
      </c>
      <c r="C83" s="16" t="str">
        <f>products_export!H83</f>
        <v>Urn Arrangements</v>
      </c>
      <c r="D83" s="15">
        <f>products_export!K83</f>
        <v>65</v>
      </c>
      <c r="E83" s="15">
        <f>products_export!L83</f>
        <v>77.5</v>
      </c>
      <c r="F83" s="10" t="str">
        <f>products_export!O83</f>
        <v>https://cdn.shopify.com/s/files/1/0790/8529/products/T253-1A.jpeg?v=1425992785</v>
      </c>
      <c r="G83" s="18" t="str">
        <f>products_export!P83</f>
        <v>(display image: In Memoriam Wreath)</v>
      </c>
      <c r="H83" t="str">
        <f>products_export!M82</f>
        <v>T256-1A</v>
      </c>
      <c r="I83">
        <f>products_export!N83</f>
        <v>242.95</v>
      </c>
      <c r="J83" s="7" t="str">
        <f>"img/flowers/"&amp;Data!H83&amp;".png"</f>
        <v>img/flowers/T256-1A.png</v>
      </c>
    </row>
    <row r="84" spans="1:10" x14ac:dyDescent="0.25">
      <c r="A84" t="str">
        <f>products_export!A84</f>
        <v>Infinite Love</v>
      </c>
      <c r="B84" s="10" t="str">
        <f>products_export!E84</f>
        <v>Dazzling pink hydrangea, hot pink roses and carnations, red roses, spray roses and carnations, burgundy dahlias, dark pink Sweet William, lavender daisy and button spray chrysanthemums along with fern and other fresh greens create a beautiful wreath that comes delivered on an easel.</v>
      </c>
      <c r="C84" s="16" t="str">
        <f>products_export!H84</f>
        <v>Standing Arrangements</v>
      </c>
      <c r="D84" s="15">
        <f>products_export!K84</f>
        <v>55</v>
      </c>
      <c r="E84" s="15">
        <f>products_export!L84</f>
        <v>55</v>
      </c>
      <c r="F84" s="10" t="str">
        <f>products_export!O84</f>
        <v>https://cdn.shopify.com/s/files/1/0790/8529/products/T239-2A.jpeg?v=1425992747</v>
      </c>
      <c r="G84" s="18" t="str">
        <f>products_export!P84</f>
        <v>(display image: Infinite Love)</v>
      </c>
      <c r="H84" t="str">
        <f>products_export!M83</f>
        <v>T253-1A</v>
      </c>
      <c r="I84">
        <f>products_export!N84</f>
        <v>222.95</v>
      </c>
      <c r="J84" s="7" t="str">
        <f>"img/flowers/"&amp;Data!H84&amp;".png"</f>
        <v>img/flowers/T253-1A.png</v>
      </c>
    </row>
    <row r="85" spans="1:10" x14ac:dyDescent="0.25">
      <c r="A85" t="str">
        <f>products_export!A85</f>
        <v>Island Memories Casket Spray</v>
      </c>
      <c r="B85" s="10" t="str">
        <f>products_export!E85</f>
        <v>Yellow asiatic lilies with orange orchids and roses, red gladioli, pink protea and yellow chrysanthemums are draped across the casket amidst radiating ferns, greens and leaves.</v>
      </c>
      <c r="C85" s="16" t="str">
        <f>products_export!H85</f>
        <v>Casket Sprays</v>
      </c>
      <c r="D85" s="15">
        <f>products_export!K85</f>
        <v>100</v>
      </c>
      <c r="E85" s="15">
        <f>products_export!L85</f>
        <v>57.5</v>
      </c>
      <c r="F85" s="10" t="str">
        <f>products_export!O85</f>
        <v>https://cdn.shopify.com/s/files/1/0790/8529/products/T244-3A.jpeg?v=1425992764</v>
      </c>
      <c r="G85" s="18" t="str">
        <f>products_export!P85</f>
        <v>(display image: Island Memories Casket Spray)</v>
      </c>
      <c r="H85" t="str">
        <f>products_export!M84</f>
        <v>T239-2A</v>
      </c>
      <c r="I85">
        <f>products_export!N85</f>
        <v>239.95</v>
      </c>
      <c r="J85" s="7" t="str">
        <f>"img/flowers/"&amp;Data!H85&amp;".png"</f>
        <v>img/flowers/T239-2A.png</v>
      </c>
    </row>
    <row r="86" spans="1:10" x14ac:dyDescent="0.25">
      <c r="A86" t="str">
        <f>products_export!A86</f>
        <v>Island Sunset Casket Insert</v>
      </c>
      <c r="B86" s="10" t="str">
        <f>products_export!E86</f>
        <v xml:space="preserve">Light orange roses, light orange spray roses, orange asiatic lilies, red alstroemeria, green button spray chrysanthemums, bells of Ireland and huckleberry. </v>
      </c>
      <c r="C86" s="16" t="str">
        <f>products_export!H86</f>
        <v>Casket Sprays</v>
      </c>
      <c r="D86" s="15">
        <f>products_export!K86</f>
        <v>42.5</v>
      </c>
      <c r="E86" s="15">
        <f>products_export!L86</f>
        <v>40</v>
      </c>
      <c r="F86" s="10" t="str">
        <f>products_export!O86</f>
        <v>https://cdn.shopify.com/s/files/1/0790/8529/products/T273-5A.jpg?v=1426182951</v>
      </c>
      <c r="G86" s="18" t="str">
        <f>products_export!P86</f>
        <v>(display image: Island Sunset Casket Insert)</v>
      </c>
      <c r="H86" t="str">
        <f>products_export!M85</f>
        <v>T244-3A</v>
      </c>
      <c r="I86">
        <f>products_export!N86</f>
        <v>59.95</v>
      </c>
      <c r="J86" s="7" t="str">
        <f>"img/flowers/"&amp;Data!H86&amp;".png"</f>
        <v>img/flowers/T244-3A.png</v>
      </c>
    </row>
    <row r="87" spans="1:10" x14ac:dyDescent="0.25">
      <c r="A87" t="str">
        <f>products_export!A87</f>
        <v>Joyful Memory</v>
      </c>
      <c r="B87" s="10" t="str">
        <f>products_export!E87</f>
        <v>A classic assortment of flowers such as lavender larkspur, stock and roses, plus purple asters, white gladioli and pink heather.</v>
      </c>
      <c r="C87" s="16" t="str">
        <f>products_export!H87</f>
        <v>Floral Vases</v>
      </c>
      <c r="D87" s="15">
        <f>products_export!K87</f>
        <v>50</v>
      </c>
      <c r="E87" s="15">
        <f>products_export!L87</f>
        <v>80</v>
      </c>
      <c r="F87" s="10" t="str">
        <f>products_export!O87</f>
        <v>https://cdn.shopify.com/s/files/1/0790/8529/products/T251-1A.jpeg?v=1425992783</v>
      </c>
      <c r="G87" s="18" t="str">
        <f>products_export!P87</f>
        <v>(display image: Joyful Memory)</v>
      </c>
      <c r="H87" t="str">
        <f>products_export!M86</f>
        <v>T273-5A</v>
      </c>
      <c r="I87">
        <f>products_export!N87</f>
        <v>115</v>
      </c>
      <c r="J87" s="7" t="str">
        <f>"img/flowers/"&amp;Data!H87&amp;".png"</f>
        <v>img/flowers/T273-5A.png</v>
      </c>
    </row>
    <row r="88" spans="1:10" x14ac:dyDescent="0.25">
      <c r="A88" t="str">
        <f>products_export!A88</f>
        <v>Large Basket Garden</v>
      </c>
      <c r="B88" s="10" t="str">
        <f>products_export!E88</f>
        <v>A green garden of growing plants includes potted croton, dieffenbachia, green ivy, pothos, schefflera and white butterfly syngonium.</v>
      </c>
      <c r="C88" s="16" t="str">
        <f>products_export!H88</f>
        <v>House Plants</v>
      </c>
      <c r="D88" s="15">
        <f>products_export!K88</f>
        <v>47.5</v>
      </c>
      <c r="E88" s="15">
        <f>products_export!L88</f>
        <v>40</v>
      </c>
      <c r="F88" s="10" t="str">
        <f>products_export!O88</f>
        <v>https://cdn.shopify.com/s/files/1/0790/8529/products/T212-1A.jpeg?v=1425992690</v>
      </c>
      <c r="G88" s="18" t="str">
        <f>products_export!P88</f>
        <v>(display image: Large Basket Garden)</v>
      </c>
      <c r="H88" t="str">
        <f>products_export!M87</f>
        <v>T251-1A</v>
      </c>
      <c r="I88">
        <f>products_export!N88</f>
        <v>99.99</v>
      </c>
      <c r="J88" s="7" t="str">
        <f>"img/flowers/"&amp;Data!H88&amp;".png"</f>
        <v>img/flowers/T251-1A.png</v>
      </c>
    </row>
    <row r="89" spans="1:10" x14ac:dyDescent="0.25">
      <c r="A89" t="str">
        <f>products_export!A89</f>
        <v>Lavender Reflections Spray</v>
      </c>
      <c r="B89" s="10" t="str">
        <f>products_export!E89</f>
        <v xml:space="preserve">This regal spray includes lavender roses, lavender alstroemeria, lavender gladioli, lavender stock, purple cushion spray chrysanthemums, purple sinuata statice, green ti leaves, flat cedar, oregonia and lemon leaf. </v>
      </c>
      <c r="C89" s="16" t="str">
        <f>products_export!H89</f>
        <v>Standing Arrangements</v>
      </c>
      <c r="D89" s="15">
        <f>products_export!K89</f>
        <v>75</v>
      </c>
      <c r="E89" s="15">
        <f>products_export!L89</f>
        <v>110</v>
      </c>
      <c r="F89" s="10" t="str">
        <f>products_export!O89</f>
        <v>https://cdn.shopify.com/s/files/1/0790/8529/products/T273-6A.jpeg?v=1425992844</v>
      </c>
      <c r="G89" s="18" t="str">
        <f>products_export!P89</f>
        <v>(display image: Lavender Reflections Spray)</v>
      </c>
      <c r="H89" t="str">
        <f>products_export!M88</f>
        <v>T212-1A</v>
      </c>
      <c r="I89">
        <f>products_export!N89</f>
        <v>124.95</v>
      </c>
      <c r="J89" s="7" t="str">
        <f>"img/flowers/"&amp;Data!H89&amp;".png"</f>
        <v>img/flowers/T212-1A.png</v>
      </c>
    </row>
    <row r="90" spans="1:10" x14ac:dyDescent="0.25">
      <c r="A90" t="str">
        <f>products_export!A90</f>
        <v>Lavender Tribute Casket Spray</v>
      </c>
      <c r="B90" s="10" t="str">
        <f>products_export!E90</f>
        <v>Lovely lavender and pink roses, snapdragons, alstroemeria, chrysanthemums, fern, eucalyptus and more create this tribute that is overflowing with grace and love.</v>
      </c>
      <c r="C90" s="16" t="str">
        <f>products_export!H90</f>
        <v>Casket Sprays</v>
      </c>
      <c r="D90" s="15">
        <f>products_export!K90</f>
        <v>127.5</v>
      </c>
      <c r="E90" s="15">
        <f>products_export!L90</f>
        <v>55</v>
      </c>
      <c r="F90" s="10" t="str">
        <f>products_export!O90</f>
        <v>https://cdn.shopify.com/s/files/1/0790/8529/products/T235-2A.jpeg?v=1425992738</v>
      </c>
      <c r="G90" s="18" t="str">
        <f>products_export!P90</f>
        <v>(display image: Lavender Tribute Casket Spray)</v>
      </c>
      <c r="H90" t="str">
        <f>products_export!M89</f>
        <v>T273-6A</v>
      </c>
      <c r="I90">
        <f>products_export!N90</f>
        <v>304.95</v>
      </c>
      <c r="J90" s="7" t="str">
        <f>"img/flowers/"&amp;Data!H90&amp;".png"</f>
        <v>img/flowers/T273-6A.png</v>
      </c>
    </row>
    <row r="91" spans="1:10" x14ac:dyDescent="0.25">
      <c r="A91" t="str">
        <f>products_export!A91</f>
        <v>Life Loved Casket Spray</v>
      </c>
      <c r="B91" s="10" t="str">
        <f>products_export!E91</f>
        <v>Dark pink alstroemeria, hot pink carnations, pink carnations and miniature light pink carnations accented with huckleberry and eucalyptus.</v>
      </c>
      <c r="C91" s="16" t="str">
        <f>products_export!H91</f>
        <v>Casket Sprays</v>
      </c>
      <c r="D91" s="15">
        <f>products_export!K91</f>
        <v>122.5</v>
      </c>
      <c r="E91" s="15">
        <f>products_export!L91</f>
        <v>47.5</v>
      </c>
      <c r="F91" s="10" t="str">
        <f>products_export!O91</f>
        <v>https://cdn.shopify.com/s/files/1/0790/8529/products/T259-3A.jpeg?v=1425992801</v>
      </c>
      <c r="G91" s="18" t="str">
        <f>products_export!P91</f>
        <v>(display image: Life Loved Casket Spray)</v>
      </c>
      <c r="H91" t="str">
        <f>products_export!M90</f>
        <v>T235-2A</v>
      </c>
      <c r="I91">
        <f>products_export!N91</f>
        <v>239.95</v>
      </c>
      <c r="J91" s="7" t="str">
        <f>"img/flowers/"&amp;Data!H91&amp;".png"</f>
        <v>img/flowers/T235-2A.png</v>
      </c>
    </row>
    <row r="92" spans="1:10" x14ac:dyDescent="0.25">
      <c r="A92" t="str">
        <f>products_export!A92</f>
        <v>Lily and Rose Tribute Spray</v>
      </c>
      <c r="B92" s="10" t="str">
        <f>products_export!E92</f>
        <v>Pure white lilies and dendrobium orchids mingle with red roses, white asiatic lilies and more in this magnificent and impressive standing spray of the finest blooms.</v>
      </c>
      <c r="C92" s="16" t="str">
        <f>products_export!H92</f>
        <v>Standing Arrangements</v>
      </c>
      <c r="D92" s="15">
        <f>products_export!K92</f>
        <v>77.5</v>
      </c>
      <c r="E92" s="15">
        <f>products_export!L92</f>
        <v>125</v>
      </c>
      <c r="F92" s="10" t="str">
        <f>products_export!O92</f>
        <v>https://cdn.shopify.com/s/files/1/0790/8529/products/T226-1A.jpeg?v=1425992716</v>
      </c>
      <c r="G92" s="18" t="str">
        <f>products_export!P92</f>
        <v>(display image: Lily and Rose Tribute Spray)</v>
      </c>
      <c r="H92" t="str">
        <f>products_export!M90</f>
        <v>T235-2A</v>
      </c>
      <c r="I92">
        <f>products_export!N92</f>
        <v>204.95</v>
      </c>
      <c r="J92" s="7" t="str">
        <f>"img/flowers/"&amp;Data!H92&amp;".png"</f>
        <v>img/flowers/T235-2A.png</v>
      </c>
    </row>
    <row r="93" spans="1:10" x14ac:dyDescent="0.25">
      <c r="A93" t="str">
        <f>products_export!A93</f>
        <v>Love Everlasting Bouquet</v>
      </c>
      <c r="B93" s="10" t="str">
        <f>products_export!E93</f>
        <v>Blue hydrangea, pink oriental lilies, yellow snapdragons and purple stock, accented with assorted greenery, delivered in a clear glass Ming urn.</v>
      </c>
      <c r="C93" s="16" t="str">
        <f>products_export!H93</f>
        <v>Floral Vases</v>
      </c>
      <c r="D93" s="15">
        <f>products_export!K93</f>
        <v>50</v>
      </c>
      <c r="E93" s="15">
        <f>products_export!L93</f>
        <v>57.5</v>
      </c>
      <c r="F93" s="10" t="str">
        <f>products_export!O93</f>
        <v>https://cdn.shopify.com/s/files/1/0790/8529/products/T267-1A.jpeg?v=1425992825</v>
      </c>
      <c r="G93" s="18" t="str">
        <f>products_export!P93</f>
        <v>(display image: Love Everlasting Bouquet)</v>
      </c>
      <c r="H93" t="str">
        <f>products_export!M91</f>
        <v>T259-3A</v>
      </c>
      <c r="I93">
        <f>products_export!N93</f>
        <v>129.99</v>
      </c>
      <c r="J93" s="7" t="str">
        <f>"img/flowers/"&amp;Data!H93&amp;".png"</f>
        <v>img/flowers/T259-3A.png</v>
      </c>
    </row>
    <row r="94" spans="1:10" x14ac:dyDescent="0.25">
      <c r="A94" t="str">
        <f>products_export!A94</f>
        <v>Love's Journey</v>
      </c>
      <c r="B94" s="10" t="str">
        <f>products_export!E94</f>
        <v>White roses, alstroemeria and larkspur along with pink spray roses are beautifully arranged in a natural-tone wicker basket.</v>
      </c>
      <c r="C94" s="16" t="str">
        <f>products_export!H94</f>
        <v>Floral Baskets</v>
      </c>
      <c r="D94" s="15">
        <f>products_export!K94</f>
        <v>47.5</v>
      </c>
      <c r="E94" s="15">
        <f>products_export!L94</f>
        <v>35</v>
      </c>
      <c r="F94" s="10" t="str">
        <f>products_export!O94</f>
        <v>https://cdn.shopify.com/s/files/1/0790/8529/products/T232-1A.jpeg?v=1425992731</v>
      </c>
      <c r="G94" s="18" t="str">
        <f>products_export!P94</f>
        <v>(display image: Love's Journey)</v>
      </c>
      <c r="H94" t="str">
        <f>products_export!M92</f>
        <v>T226-1A</v>
      </c>
      <c r="I94">
        <f>products_export!N94</f>
        <v>69.989999999999995</v>
      </c>
      <c r="J94" s="7" t="str">
        <f>"img/flowers/"&amp;Data!H94&amp;".png"</f>
        <v>img/flowers/T226-1A.png</v>
      </c>
    </row>
    <row r="95" spans="1:10" x14ac:dyDescent="0.25">
      <c r="A95" t="str">
        <f>products_export!A95</f>
        <v>Love's Tapestry</v>
      </c>
      <c r="B95" s="10" t="str">
        <f>products_export!E95</f>
        <v>Beautiful flowers such as blue hydrangea, lavender roses, snapdragons and daisy spray chrysanthemums along with yellow asiatic lilies, gerberas, gladioli, snapdragons and brilliant greenery are delivered in a lovely wicker basket.</v>
      </c>
      <c r="C95" s="16" t="str">
        <f>products_export!H95</f>
        <v>Funeral Baskets</v>
      </c>
      <c r="D95" s="15">
        <f>products_export!K95</f>
        <v>60</v>
      </c>
      <c r="E95" s="15">
        <f>products_export!L95</f>
        <v>77.5</v>
      </c>
      <c r="F95" s="10" t="str">
        <f>products_export!O95</f>
        <v>https://cdn.shopify.com/s/files/1/0790/8529/products/T218-2A.jpeg?v=1425992699</v>
      </c>
      <c r="G95" s="18" t="str">
        <f>products_export!P95</f>
        <v>(display image: Love's Tapestry)</v>
      </c>
      <c r="H95" t="str">
        <f>products_export!M93</f>
        <v>T267-1A</v>
      </c>
      <c r="I95">
        <f>products_export!N95</f>
        <v>104.95</v>
      </c>
      <c r="J95" s="7" t="str">
        <f>"img/flowers/"&amp;Data!H95&amp;".png"</f>
        <v>img/flowers/T267-1A.png</v>
      </c>
    </row>
    <row r="96" spans="1:10" x14ac:dyDescent="0.25">
      <c r="A96" t="str">
        <f>products_export!A96</f>
        <v>Loving Heart Tribute</v>
      </c>
      <c r="B96" s="10" t="str">
        <f>products_export!E96</f>
        <v>A lovely heart-shaped design created with lavender chrysanthemums, white daisies, yellow alstroemeria, pink asters and spray roses, delivered on an easel.</v>
      </c>
      <c r="C96" s="16" t="str">
        <f>products_export!H96</f>
        <v>Standing Arrangements</v>
      </c>
      <c r="D96" s="15">
        <f>products_export!K96</f>
        <v>55</v>
      </c>
      <c r="E96" s="15">
        <f>products_export!L96</f>
        <v>55</v>
      </c>
      <c r="F96" s="10" t="str">
        <f>products_export!O96</f>
        <v>https://cdn.shopify.com/s/files/1/0790/8529/products/34922.jpeg?v=1425992888</v>
      </c>
      <c r="G96" s="18" t="str">
        <f>products_export!P96</f>
        <v>(display image: Loving Heart Tribute)</v>
      </c>
      <c r="H96" t="str">
        <f>products_export!M94</f>
        <v>T232-1A</v>
      </c>
      <c r="I96">
        <f>products_export!N96</f>
        <v>154.94999999999999</v>
      </c>
      <c r="J96" s="7" t="str">
        <f>"img/flowers/"&amp;Data!H96&amp;".png"</f>
        <v>img/flowers/T232-1A.png</v>
      </c>
    </row>
    <row r="97" spans="1:10" x14ac:dyDescent="0.25">
      <c r="A97" t="str">
        <f>products_export!A97</f>
        <v>Loving Lilies and Roses Bouquet</v>
      </c>
      <c r="B97" s="10" t="str">
        <f>products_export!E97</f>
        <v>This elegant bouquet features flowers such as creme roses, fragrant white oriental lilies, white carnations and greens including spiral and seeded eucalyptus and rich green salal.</v>
      </c>
      <c r="C97" s="16" t="str">
        <f>products_export!H97</f>
        <v>Funeral Baskets</v>
      </c>
      <c r="D97" s="15">
        <f>products_export!K97</f>
        <v>67.5</v>
      </c>
      <c r="E97" s="15">
        <f>products_export!L97</f>
        <v>62.5</v>
      </c>
      <c r="F97" s="10" t="str">
        <f>products_export!O97</f>
        <v>https://cdn.shopify.com/s/files/1/0790/8529/products/T216-1A.jpeg?v=1425992696</v>
      </c>
      <c r="G97" s="18" t="str">
        <f>products_export!P97</f>
        <v>(display image: Loving Lilies and Roses Bouquet)</v>
      </c>
      <c r="H97" t="str">
        <f>products_export!M95</f>
        <v>T218-2A</v>
      </c>
      <c r="I97">
        <f>products_export!N97</f>
        <v>154.99</v>
      </c>
      <c r="J97" s="7" t="str">
        <f>"img/flowers/"&amp;Data!H97&amp;".png"</f>
        <v>img/flowers/T218-2A.png</v>
      </c>
    </row>
    <row r="98" spans="1:10" x14ac:dyDescent="0.25">
      <c r="A98" t="str">
        <f>products_export!A98</f>
        <v>Magnificent Life Spray</v>
      </c>
      <c r="B98" s="10" t="str">
        <f>products_export!E98</f>
        <v>An elegant array of green roses, green carnations, white gladioli, white stock, white cushion spray chrysanthemums and bells of Ireland is accented with green ti leaves, spiral eucalyptus and lemon leaf.</v>
      </c>
      <c r="C98" s="16" t="str">
        <f>products_export!H98</f>
        <v>Standing Arrangements</v>
      </c>
      <c r="D98" s="15">
        <f>products_export!K98</f>
        <v>72.5</v>
      </c>
      <c r="E98" s="15">
        <f>products_export!L98</f>
        <v>147.5</v>
      </c>
      <c r="F98" s="10" t="str">
        <f>products_export!O98</f>
        <v>https://cdn.shopify.com/s/files/1/0790/8529/products/T274-1A.jpeg?v=1425992848</v>
      </c>
      <c r="G98" s="18" t="str">
        <f>products_export!P98</f>
        <v>(display image: Magnificent Life Spray)</v>
      </c>
      <c r="H98" t="str">
        <f>products_export!M96</f>
        <v>TF199-4</v>
      </c>
      <c r="I98">
        <f>products_export!N98</f>
        <v>162.94999999999999</v>
      </c>
      <c r="J98" s="7" t="str">
        <f>"img/flowers/"&amp;Data!H98&amp;".png"</f>
        <v>img/flowers/TF199-4.png</v>
      </c>
    </row>
    <row r="99" spans="1:10" x14ac:dyDescent="0.25">
      <c r="A99" t="str">
        <f>products_export!A99</f>
        <v>Majestic Heart</v>
      </c>
      <c r="B99" s="10" t="str">
        <f>products_export!E99</f>
        <v>A classic heart shape of solid red roses matched with deep red carnations are surrounded by variegated greens and fern.</v>
      </c>
      <c r="C99" s="16" t="str">
        <f>products_export!H99</f>
        <v>Standing Arrangements</v>
      </c>
      <c r="D99" s="15">
        <f>products_export!K99</f>
        <v>52.5</v>
      </c>
      <c r="E99" s="15">
        <f>products_export!L99</f>
        <v>52.5</v>
      </c>
      <c r="F99" s="10" t="str">
        <f>products_export!O99</f>
        <v>https://cdn.shopify.com/s/files/1/0790/8529/products/T225-1A.jpeg?v=1425992713</v>
      </c>
      <c r="G99" s="18" t="str">
        <f>products_export!P99</f>
        <v>(display image: Majestic Heart)</v>
      </c>
      <c r="H99" t="str">
        <f>products_export!M97</f>
        <v>T216-1A</v>
      </c>
      <c r="I99">
        <f>products_export!N99</f>
        <v>194.95</v>
      </c>
      <c r="J99" s="7" t="str">
        <f>"img/flowers/"&amp;Data!H99&amp;".png"</f>
        <v>img/flowers/T216-1A.png</v>
      </c>
    </row>
    <row r="100" spans="1:10" x14ac:dyDescent="0.25">
      <c r="A100" t="str">
        <f>products_export!A100</f>
        <v>Meadows of Memories</v>
      </c>
      <c r="B100" s="10" t="str">
        <f>products_export!E100</f>
        <v>A subdued assortment of flowers such as lavender larkspur, roses and asters are grouped beautifully with the rich greens of cymbidium orchids, chrysanthemums, English boxwood and sword fern.</v>
      </c>
      <c r="C100" s="16" t="str">
        <f>products_export!H100</f>
        <v>Urn Arrangements</v>
      </c>
      <c r="D100" s="15">
        <f>products_export!K100</f>
        <v>60</v>
      </c>
      <c r="E100" s="15">
        <f>products_export!L100</f>
        <v>50</v>
      </c>
      <c r="F100" s="10" t="str">
        <f>products_export!O100</f>
        <v>https://cdn.shopify.com/s/files/1/0790/8529/products/T250-1A.jpeg?v=1425992780</v>
      </c>
      <c r="G100" s="18" t="str">
        <f>products_export!P100</f>
        <v>(display image: Meadows of Memories)</v>
      </c>
      <c r="H100" t="str">
        <f>products_export!M98</f>
        <v>T274-1A</v>
      </c>
      <c r="I100">
        <f>products_export!N100</f>
        <v>179.95</v>
      </c>
      <c r="J100" s="7" t="str">
        <f>"img/flowers/"&amp;Data!H100&amp;".png"</f>
        <v>img/flowers/T274-1A.png</v>
      </c>
    </row>
    <row r="101" spans="1:10" x14ac:dyDescent="0.25">
      <c r="A101" t="str">
        <f>products_export!A101</f>
        <v>Medium Dish Garden</v>
      </c>
      <c r="B101" s="10" t="str">
        <f>products_export!E101</f>
        <v>A miniature garden of living plants includes dracaena, variegated ivy, palm, spathiphyllum and white butterfly syngonium, arranged in a low white bowl with river rocks, sheet moss and bark accents.</v>
      </c>
      <c r="C101" s="16" t="str">
        <f>products_export!H101</f>
        <v>House Plants</v>
      </c>
      <c r="D101" s="15">
        <f>products_export!K101</f>
        <v>35</v>
      </c>
      <c r="E101" s="15">
        <f>products_export!L101</f>
        <v>37.5</v>
      </c>
      <c r="F101" s="10" t="str">
        <f>products_export!O101</f>
        <v>https://cdn.shopify.com/s/files/1/0790/8529/products/T212-2A.jpeg?v=1425992691</v>
      </c>
      <c r="G101" s="18" t="str">
        <f>products_export!P101</f>
        <v>(display image:Medium Dish Garden)_x000D_Medium Dish Garden)</v>
      </c>
      <c r="H101" t="str">
        <f>products_export!M99</f>
        <v>T225-1A</v>
      </c>
      <c r="I101">
        <f>products_export!N101</f>
        <v>79.989999999999995</v>
      </c>
      <c r="J101" s="7" t="str">
        <f>"img/flowers/"&amp;Data!H101&amp;".png"</f>
        <v>img/flowers/T225-1A.png</v>
      </c>
    </row>
    <row r="102" spans="1:10" x14ac:dyDescent="0.25">
      <c r="A102" t="str">
        <f>products_export!A102</f>
        <v>Memories to Treasure</v>
      </c>
      <c r="B102" s="10" t="str">
        <f>products_export!E102</f>
        <v>A mix of fresh flowers such as red and white roses, oriental lilies, graceful gladioli, carnations and fragrant eucalyptus. Beautifully presented in a white urn.</v>
      </c>
      <c r="C102" s="16" t="str">
        <f>products_export!H102</f>
        <v>Funeral Baskets</v>
      </c>
      <c r="D102" s="15">
        <f>products_export!K102</f>
        <v>77.5</v>
      </c>
      <c r="E102" s="15">
        <f>products_export!L102</f>
        <v>107.5</v>
      </c>
      <c r="F102" s="10" t="str">
        <f>products_export!O102</f>
        <v>https://cdn.shopify.com/s/files/1/0790/8529/products/T226-2A.jpeg?v=1425992717</v>
      </c>
      <c r="G102" s="18" t="str">
        <f>products_export!P102</f>
        <v>(display image: Memories to Treasure)</v>
      </c>
      <c r="H102" t="str">
        <f>products_export!M100</f>
        <v>T250-1A</v>
      </c>
      <c r="I102">
        <f>products_export!N102</f>
        <v>204.95</v>
      </c>
      <c r="J102" s="7" t="str">
        <f>"img/flowers/"&amp;Data!H102&amp;".png"</f>
        <v>img/flowers/T250-1A.png</v>
      </c>
    </row>
    <row r="103" spans="1:10" x14ac:dyDescent="0.25">
      <c r="A103" t="str">
        <f>products_export!A103</f>
        <v>Moonlit Walk</v>
      </c>
      <c r="B103" s="10" t="str">
        <f>products_export!E103</f>
        <v>White dendrobium orchids, white roses, white spray roses, a white carnation and white larkspur, accented with assorted greenery.</v>
      </c>
      <c r="C103" s="16" t="str">
        <f>products_export!H103</f>
        <v>Casket Sprays</v>
      </c>
      <c r="D103" s="15">
        <f>products_export!K103</f>
        <v>47.5</v>
      </c>
      <c r="E103" s="15">
        <f>products_export!L103</f>
        <v>50</v>
      </c>
      <c r="F103" s="10" t="str">
        <f>products_export!O103</f>
        <v>https://cdn.shopify.com/s/files/1/0790/8529/products/T263-3A.jpg?v=1426183129</v>
      </c>
      <c r="G103" s="18" t="str">
        <f>products_export!P103</f>
        <v>(display image: Moonlit Walk)</v>
      </c>
      <c r="H103" t="str">
        <f>products_export!M101</f>
        <v>T212-2A</v>
      </c>
      <c r="I103">
        <f>products_export!N103</f>
        <v>54.95</v>
      </c>
      <c r="J103" s="7" t="str">
        <f>"img/flowers/"&amp;Data!H103&amp;".png"</f>
        <v>img/flowers/T212-2A.png</v>
      </c>
    </row>
    <row r="104" spans="1:10" x14ac:dyDescent="0.25">
      <c r="A104" t="str">
        <f>products_export!A104</f>
        <v>Mosaic of Memories Square Easel</v>
      </c>
      <c r="B104" s="10" t="str">
        <f>products_export!E104</f>
        <v>A unique square easel wreath of purple and green flowers, including purple alstroemeria, green gladioli, green carnations, purple cushion spray chrysanthemums, lavender button spray chrysanthemums, green button spray chrysanthemums and purple button spray chrysanthemums, accented with assorted greenery.</v>
      </c>
      <c r="C104" s="16" t="str">
        <f>products_export!H104</f>
        <v>Standing Arrangements</v>
      </c>
      <c r="D104" s="15">
        <f>products_export!K104</f>
        <v>60</v>
      </c>
      <c r="E104" s="15">
        <f>products_export!L104</f>
        <v>60</v>
      </c>
      <c r="F104" s="10" t="str">
        <f>products_export!O104</f>
        <v>https://cdn.shopify.com/s/files/1/0790/8529/products/T269-1A.jpeg?v=1425992831</v>
      </c>
      <c r="G104" s="18" t="str">
        <f>products_export!P104</f>
        <v>(display image: Mosaic of Memories Square Easel)</v>
      </c>
      <c r="H104" t="str">
        <f>products_export!M102</f>
        <v>T226-2A</v>
      </c>
      <c r="I104">
        <f>products_export!N104</f>
        <v>179.95</v>
      </c>
      <c r="J104" s="7" t="str">
        <f>"img/flowers/"&amp;Data!H104&amp;".png"</f>
        <v>img/flowers/T226-2A.png</v>
      </c>
    </row>
    <row r="105" spans="1:10" x14ac:dyDescent="0.25">
      <c r="A105" t="str">
        <f>products_export!A105</f>
        <v>My Perfect Love-Long Stemmed Roses</v>
      </c>
      <c r="B105" s="10" t="str">
        <f>products_export!E105</f>
        <v>Twenty-four stunning red roses are arranged with greenery and delivered in a feminine vase.</v>
      </c>
      <c r="C105" s="16" t="str">
        <f>products_export!H105</f>
        <v>Floral Vases</v>
      </c>
      <c r="D105" s="15">
        <f>products_export!K105</f>
        <v>60</v>
      </c>
      <c r="E105" s="15">
        <f>products_export!L105</f>
        <v>65</v>
      </c>
      <c r="F105" s="10" t="str">
        <f>products_export!O105</f>
        <v>https://cdn.shopify.com/s/files/1/0790/8529/products/T61-1A.jpeg?v=1425992850</v>
      </c>
      <c r="G105" s="18" t="str">
        <f>products_export!P105</f>
        <v>(display image: My Perfect Love-Long Stemmed Roses)</v>
      </c>
      <c r="H105" t="str">
        <f>products_export!M103</f>
        <v>T263-3A</v>
      </c>
      <c r="I105">
        <f>products_export!N105</f>
        <v>139.94999999999999</v>
      </c>
      <c r="J105" s="7" t="str">
        <f>"img/flowers/"&amp;Data!H105&amp;".png"</f>
        <v>img/flowers/T263-3A.png</v>
      </c>
    </row>
    <row r="106" spans="1:10" x14ac:dyDescent="0.25">
      <c r="A106" t="str">
        <f>products_export!A106</f>
        <v>Ocean Breeze Spray</v>
      </c>
      <c r="B106" s="10" t="str">
        <f>products_export!E106</f>
        <v>An elegant tribute of lovely flowers such as white asiatic lilies and roses blend with blue delphinium and hydrangea, set amidst ferns.</v>
      </c>
      <c r="C106" s="16" t="str">
        <f>products_export!H106</f>
        <v>Standing Arrangements</v>
      </c>
      <c r="D106" s="15">
        <f>products_export!K106</f>
        <v>52.5</v>
      </c>
      <c r="E106" s="15">
        <f>products_export!L106</f>
        <v>97.5</v>
      </c>
      <c r="F106" s="10" t="str">
        <f>products_export!O106</f>
        <v>https://cdn.shopify.com/s/files/1/0790/8529/products/T246-2A.jpeg?v=1425992767</v>
      </c>
      <c r="G106" s="18" t="str">
        <f>products_export!P106</f>
        <v>(display image: Ocean Breeze Spray)</v>
      </c>
      <c r="H106" t="str">
        <f>products_export!M104</f>
        <v>T269-1A</v>
      </c>
      <c r="I106">
        <f>products_export!N106</f>
        <v>152.94999999999999</v>
      </c>
      <c r="J106" s="7" t="str">
        <f>"img/flowers/"&amp;Data!H106&amp;".png"</f>
        <v>img/flowers/T269-1A.png</v>
      </c>
    </row>
    <row r="107" spans="1:10" x14ac:dyDescent="0.25">
      <c r="A107" t="str">
        <f>products_export!A107</f>
        <v>Paradise Tribute Spray</v>
      </c>
      <c r="B107" s="10" t="str">
        <f>products_export!E107</f>
        <v>A standing spray of fresh flowers and tropical elements such as Asiatic lilies, orchids, Birds of Paradise, ginger, liatris, croton leaves and plumosus, delivered on an easel.</v>
      </c>
      <c r="C107" s="16" t="str">
        <f>products_export!H107</f>
        <v>Standing Arrangements</v>
      </c>
      <c r="D107" s="15">
        <f>products_export!K107</f>
        <v>55</v>
      </c>
      <c r="E107" s="15">
        <f>products_export!L107</f>
        <v>85</v>
      </c>
      <c r="F107" s="10" t="str">
        <f>products_export!O107</f>
        <v>https://cdn.shopify.com/s/files/1/0790/8529/products/260826.jpeg?v=1425992913</v>
      </c>
      <c r="G107" s="18" t="str">
        <f>products_export!P107</f>
        <v>(display image: Paradise Tribute Spray)</v>
      </c>
      <c r="H107" t="str">
        <f>products_export!M105</f>
        <v>T61-1A</v>
      </c>
      <c r="I107">
        <f>products_export!N107</f>
        <v>197.95</v>
      </c>
      <c r="J107" s="7" t="str">
        <f>"img/flowers/"&amp;Data!H107&amp;".png"</f>
        <v>img/flowers/T61-1A.png</v>
      </c>
    </row>
    <row r="108" spans="1:10" x14ac:dyDescent="0.25">
      <c r="A108" t="str">
        <f>products_export!A108</f>
        <v>Parlor Palm</v>
      </c>
      <c r="B108" s="10" t="str">
        <f>products_export!E108</f>
        <v>One palm plant  in a rattan pot cover.</v>
      </c>
      <c r="C108" s="16" t="str">
        <f>products_export!H108</f>
        <v>House Plants</v>
      </c>
      <c r="D108" s="15">
        <f>products_export!K108</f>
        <v>57.5</v>
      </c>
      <c r="E108" s="15">
        <f>products_export!L108</f>
        <v>75</v>
      </c>
      <c r="F108" s="10" t="str">
        <f>products_export!O108</f>
        <v>https://cdn.shopify.com/s/files/1/0790/8529/products/34720.jpeg?v=1425992865</v>
      </c>
      <c r="G108" s="18" t="str">
        <f>products_export!P108</f>
        <v>(display image: Parlor Palm)</v>
      </c>
      <c r="H108" t="str">
        <f>products_export!M106</f>
        <v>T246-2A</v>
      </c>
      <c r="I108">
        <f>products_export!N108</f>
        <v>64.95</v>
      </c>
      <c r="J108" s="7" t="str">
        <f>"img/flowers/"&amp;Data!H108&amp;".png"</f>
        <v>img/flowers/T246-2A.png</v>
      </c>
    </row>
    <row r="109" spans="1:10" x14ac:dyDescent="0.25">
      <c r="A109" t="str">
        <f>products_export!A109</f>
        <v>Pastel Cross</v>
      </c>
      <c r="B109" s="10" t="str">
        <f>products_export!E109</f>
        <v>A beautiful palette of pastel colors form this standing cross.</v>
      </c>
      <c r="C109" s="16" t="str">
        <f>products_export!H109</f>
        <v>Standing Arrangements</v>
      </c>
      <c r="D109" s="15">
        <f>products_export!K109</f>
        <v>55</v>
      </c>
      <c r="E109" s="15">
        <f>products_export!L109</f>
        <v>60</v>
      </c>
      <c r="F109" s="10" t="str">
        <f>products_export!O109</f>
        <v>https://cdn.shopify.com/s/files/1/0790/8529/products/HFS-8066.jpeg?v=1425992657</v>
      </c>
      <c r="G109" s="18" t="str">
        <f>products_export!P109</f>
        <v>(display image: Pastel Cross)</v>
      </c>
      <c r="H109" t="str">
        <f>products_export!M107</f>
        <v>TFWEB562</v>
      </c>
      <c r="I109">
        <f>products_export!N109</f>
        <v>255</v>
      </c>
      <c r="J109" s="7" t="str">
        <f>"img/flowers/"&amp;Data!H109&amp;".png"</f>
        <v>img/flowers/TFWEB562.png</v>
      </c>
    </row>
    <row r="110" spans="1:10" x14ac:dyDescent="0.25">
      <c r="A110" t="str">
        <f>products_export!A110</f>
        <v>Peace Eternal Wreath</v>
      </c>
      <c r="B110" s="10" t="str">
        <f>products_export!E110</f>
        <v>Gorgeous pink hydrangea, creme roses, light pink spray roses, white chrysanthemums, waxflower and more are adorned by pink organza ribbon.</v>
      </c>
      <c r="C110" s="16" t="str">
        <f>products_export!H110</f>
        <v>Standing Arrangements</v>
      </c>
      <c r="D110" s="15">
        <f>products_export!K110</f>
        <v>62.5</v>
      </c>
      <c r="E110" s="15">
        <f>products_export!L110</f>
        <v>62.5</v>
      </c>
      <c r="F110" s="10" t="str">
        <f>products_export!O110</f>
        <v>https://cdn.shopify.com/s/files/1/0790/8529/products/T236-1A.jpeg?v=1425992739</v>
      </c>
      <c r="G110" s="18" t="str">
        <f>products_export!P110</f>
        <v>(display image: Peace Eternal Wreath)</v>
      </c>
      <c r="H110" t="str">
        <f>products_export!M108</f>
        <v>TF136-2</v>
      </c>
      <c r="I110">
        <f>products_export!N110</f>
        <v>222.95</v>
      </c>
      <c r="J110" s="7" t="str">
        <f>"img/flowers/"&amp;Data!H110&amp;".png"</f>
        <v>img/flowers/TF136-2.png</v>
      </c>
    </row>
    <row r="111" spans="1:10" x14ac:dyDescent="0.25">
      <c r="A111" t="str">
        <f>products_export!A111</f>
        <v>Peaceful White Lilies Basket</v>
      </c>
      <c r="B111" s="10" t="str">
        <f>products_export!E111</f>
        <v>White lilies, carnations and miniature carnations mix with vibrant greens in a large basket.</v>
      </c>
      <c r="C111" s="16" t="str">
        <f>products_export!H111</f>
        <v>Floral Baskets</v>
      </c>
      <c r="D111" s="15">
        <f>products_export!K111</f>
        <v>65</v>
      </c>
      <c r="E111" s="15">
        <f>products_export!L111</f>
        <v>62.5</v>
      </c>
      <c r="F111" s="10" t="str">
        <f>products_export!O111</f>
        <v>https://cdn.shopify.com/s/files/1/0790/8529/products/T228-1A.jpeg?v=1425992721</v>
      </c>
      <c r="G111" s="18" t="str">
        <f>products_export!P111</f>
        <v>(display image: Peaceful White Lilies Basket)</v>
      </c>
      <c r="H111" t="str">
        <f>products_export!M109</f>
        <v>HFS-8066</v>
      </c>
      <c r="I111">
        <f>products_export!N111</f>
        <v>84.95</v>
      </c>
      <c r="J111" s="7" t="str">
        <f>"img/flowers/"&amp;Data!H111&amp;".png"</f>
        <v>img/flowers/HFS-8066.png</v>
      </c>
    </row>
    <row r="112" spans="1:10" x14ac:dyDescent="0.25">
      <c r="A112" t="str">
        <f>products_export!A112</f>
        <v>Picture of Heaven Spray</v>
      </c>
      <c r="B112" s="10" t="str">
        <f>products_export!E112</f>
        <v>Cool hues of green, purple and lavender is arranged into a wreath. A standing spray made of fresh flowers such as roses, hydrangea, gladioli, Dendrobium orchids, Bells of Ireland and lisianthus - in shades of green, purple and lavender, delivered on an easel.</v>
      </c>
      <c r="C112" s="16" t="str">
        <f>products_export!H112</f>
        <v>Standing Arrangements</v>
      </c>
      <c r="D112" s="15">
        <f>products_export!K112</f>
        <v>50</v>
      </c>
      <c r="E112" s="15">
        <f>products_export!L112</f>
        <v>50</v>
      </c>
      <c r="F112" s="10" t="str">
        <f>products_export!O112</f>
        <v>https://cdn.shopify.com/s/files/1/0790/8529/products/260113.jpeg?v=1425992911</v>
      </c>
      <c r="G112" s="18" t="str">
        <f>products_export!P112</f>
        <v>(display image: Picture of Heaven Spray)</v>
      </c>
      <c r="H112" t="str">
        <f>products_export!M110</f>
        <v>T236-1A</v>
      </c>
      <c r="I112">
        <f>products_export!N112</f>
        <v>207.95</v>
      </c>
      <c r="J112" s="7" t="str">
        <f>"img/flowers/"&amp;Data!H112&amp;".png"</f>
        <v>img/flowers/T236-1A.png</v>
      </c>
    </row>
    <row r="113" spans="1:10" x14ac:dyDescent="0.25">
      <c r="A113" t="str">
        <f>products_export!A113</f>
        <v>Pink Bouquet Cross</v>
      </c>
      <c r="B113" s="10" t="str">
        <f>products_export!E113</f>
        <v>The moss-covered cross features a diagonal swag of peach roses and pink carnations, and is delivered on an easel.</v>
      </c>
      <c r="C113" s="16" t="str">
        <f>products_export!H113</f>
        <v>Standing Arrangements</v>
      </c>
      <c r="D113" s="15">
        <f>products_export!K113</f>
        <v>50</v>
      </c>
      <c r="E113" s="15">
        <f>products_export!L113</f>
        <v>75</v>
      </c>
      <c r="F113" s="10" t="str">
        <f>products_export!O113</f>
        <v>https://cdn.shopify.com/s/files/1/0790/8529/products/34916.jpeg?v=1425992884</v>
      </c>
      <c r="G113" s="18" t="str">
        <f>products_export!P113</f>
        <v>(display image: Pink Bouquet Cross)</v>
      </c>
      <c r="H113" t="str">
        <f>products_export!M111</f>
        <v>T228-1A</v>
      </c>
      <c r="I113">
        <f>products_export!N113</f>
        <v>119.95</v>
      </c>
      <c r="J113" s="7" t="str">
        <f>"img/flowers/"&amp;Data!H113&amp;".png"</f>
        <v>img/flowers/T228-1A.png</v>
      </c>
    </row>
    <row r="114" spans="1:10" x14ac:dyDescent="0.25">
      <c r="A114" t="str">
        <f>products_export!A114</f>
        <v>Pink Tribute Spray</v>
      </c>
      <c r="B114" s="10" t="str">
        <f>products_export!E114</f>
        <v>Splendid pink, hot pink and light pink flowers such as alstroemeria, gladioli, carnations, asters and more create a display that is warm and loving.</v>
      </c>
      <c r="C114" s="16" t="str">
        <f>products_export!H114</f>
        <v>Standing Arrangements</v>
      </c>
      <c r="D114" s="15">
        <f>products_export!K114</f>
        <v>55</v>
      </c>
      <c r="E114" s="15">
        <f>products_export!L114</f>
        <v>80</v>
      </c>
      <c r="F114" s="10" t="str">
        <f>products_export!O114</f>
        <v>https://cdn.shopify.com/s/files/1/0790/8529/products/T249-2A.jpeg?v=1425992777</v>
      </c>
      <c r="G114" s="18" t="str">
        <f>products_export!P114</f>
        <v>(display image: Pink Tribute Spray)</v>
      </c>
      <c r="H114" t="str">
        <f>products_export!M112</f>
        <v>TFWEB540</v>
      </c>
      <c r="I114">
        <f>products_export!N114</f>
        <v>104.95</v>
      </c>
      <c r="J114" s="7" t="str">
        <f>"img/flowers/"&amp;Data!H114&amp;".png"</f>
        <v>img/flowers/TFWEB540.png</v>
      </c>
    </row>
    <row r="115" spans="1:10" x14ac:dyDescent="0.25">
      <c r="A115" t="str">
        <f>products_export!A115</f>
        <v>Plants Galore</v>
      </c>
      <c r="B115" s="10" t="str">
        <f>products_export!E115</f>
        <v>Hot pink azalea, dieffenbachia, nephthytis, hypoestes, spathiphyllum and variegated ivy arranged in a natural basket with sheet moss decoration.</v>
      </c>
      <c r="C115" s="16" t="str">
        <f>products_export!H115</f>
        <v>House Plants</v>
      </c>
      <c r="D115" s="15">
        <f>products_export!K115</f>
        <v>52.5</v>
      </c>
      <c r="E115" s="15">
        <f>products_export!L115</f>
        <v>40</v>
      </c>
      <c r="F115" s="10" t="str">
        <f>products_export!O115</f>
        <v>https://cdn.shopify.com/s/files/1/0790/8529/products/T90-1A.jpeg?v=1425992855</v>
      </c>
      <c r="G115" s="18" t="str">
        <f>products_export!P115</f>
        <v>(display image: Plants Galore)</v>
      </c>
      <c r="H115" t="str">
        <f>products_export!M113</f>
        <v>TF198-2</v>
      </c>
      <c r="I115">
        <f>products_export!N115</f>
        <v>77.95</v>
      </c>
      <c r="J115" s="7" t="str">
        <f>"img/flowers/"&amp;Data!H115&amp;".png"</f>
        <v>img/flowers/TF198-2.png</v>
      </c>
    </row>
    <row r="116" spans="1:10" x14ac:dyDescent="0.25">
      <c r="A116" t="str">
        <f>products_export!A116</f>
        <v>Pure Faith Pillow</v>
      </c>
      <c r="B116" s="10" t="str">
        <f>products_export!E116</f>
        <v>White spray roses and white asiatic lilies, framed by fresh salal.</v>
      </c>
      <c r="C116" s="16" t="str">
        <f>products_export!H116</f>
        <v>Casket Sprays</v>
      </c>
      <c r="D116" s="15">
        <f>products_export!K116</f>
        <v>32.5</v>
      </c>
      <c r="E116" s="15">
        <f>products_export!L116</f>
        <v>25</v>
      </c>
      <c r="F116" s="10" t="str">
        <f>products_export!O116</f>
        <v>https://cdn.shopify.com/s/files/1/0790/8529/products/T263-1A.jpeg?v=1425992813</v>
      </c>
      <c r="G116" s="18" t="str">
        <f>products_export!P116</f>
        <v>(display image: Pure Faith Pillow)</v>
      </c>
      <c r="H116" t="str">
        <f>products_export!M114</f>
        <v>T249-2A</v>
      </c>
      <c r="I116">
        <f>products_export!N116</f>
        <v>69.95</v>
      </c>
      <c r="J116" s="7" t="str">
        <f>"img/flowers/"&amp;Data!H116&amp;".png"</f>
        <v>img/flowers/T249-2A.png</v>
      </c>
    </row>
    <row r="117" spans="1:10" x14ac:dyDescent="0.25">
      <c r="A117" t="str">
        <f>products_export!A117</f>
        <v>Purity and Peace Casket Spray</v>
      </c>
      <c r="B117" s="10" t="str">
        <f>products_export!E117</f>
        <v>Roses, orchids, calla lilies and hydrangea accented by soft, trailing greens. White roses, orchids, large calla lilies and perfect stems of hydrangea.</v>
      </c>
      <c r="C117" s="16" t="str">
        <f>products_export!H117</f>
        <v>Casket Sprays</v>
      </c>
      <c r="D117" s="15">
        <f>products_export!K117</f>
        <v>117.5</v>
      </c>
      <c r="E117" s="15">
        <f>products_export!L117</f>
        <v>42.5</v>
      </c>
      <c r="F117" s="10" t="str">
        <f>products_export!O117</f>
        <v>https://cdn.shopify.com/s/files/1/0790/8529/products/T229-3A.jpeg?v=1425992725</v>
      </c>
      <c r="G117" s="18" t="str">
        <f>products_export!P117</f>
        <v>(display image: Purity and Peace Casket Spray)</v>
      </c>
      <c r="H117" t="str">
        <f>products_export!M115</f>
        <v>T90-1A</v>
      </c>
      <c r="I117">
        <f>products_export!N117</f>
        <v>404.95</v>
      </c>
      <c r="J117" s="7" t="str">
        <f>"img/flowers/"&amp;Data!H117&amp;".png"</f>
        <v>img/flowers/T90-1A.png</v>
      </c>
    </row>
    <row r="118" spans="1:10" x14ac:dyDescent="0.25">
      <c r="A118" t="str">
        <f>products_export!A118</f>
        <v>Rainbow Of Remembrance Spray</v>
      </c>
      <c r="B118" s="10" t="str">
        <f>products_export!E118</f>
        <v xml:space="preserve">_x000D_This inspiring spray includes pink stargazer lilies, yellow gerberas, yellow alstroemeria, pink gladioli, purple carnations and purple larkspur accented with oregonia and lemon leaf. </v>
      </c>
      <c r="C118" s="16" t="str">
        <f>products_export!H118</f>
        <v>Standing Arrangements</v>
      </c>
      <c r="D118" s="15">
        <f>products_export!K118</f>
        <v>60</v>
      </c>
      <c r="E118" s="15">
        <f>products_export!L118</f>
        <v>137.5</v>
      </c>
      <c r="F118" s="10" t="str">
        <f>products_export!O118</f>
        <v>https://cdn.shopify.com/s/files/1/0790/8529/products/T273-8A.jpeg?v=1425992846</v>
      </c>
      <c r="G118" s="18" t="str">
        <f>products_export!P118</f>
        <v>(display image: Rainbow Of Remembrance Spray)</v>
      </c>
      <c r="H118" t="str">
        <f>products_export!M116</f>
        <v>T263-1A</v>
      </c>
      <c r="I118">
        <f>products_export!N118</f>
        <v>152.94999999999999</v>
      </c>
      <c r="J118" s="7" t="str">
        <f>"img/flowers/"&amp;Data!H118&amp;".png"</f>
        <v>img/flowers/T263-1A.png</v>
      </c>
    </row>
    <row r="119" spans="1:10" x14ac:dyDescent="0.25">
      <c r="A119" t="str">
        <f>products_export!A119</f>
        <v>Rainbow Reflections Basket</v>
      </c>
      <c r="B119" s="10" t="str">
        <f>products_export!E119</f>
        <v>Beautiful flowers such as pink carnations and alstroemeria, lavender button and daisy spray chrysanthemums along with white cushion spray chrysanthemums and more fill a lovely round wicker basket.</v>
      </c>
      <c r="C119" s="16" t="str">
        <f>products_export!H119</f>
        <v>Floral Baskets</v>
      </c>
      <c r="D119" s="15">
        <f>products_export!K119</f>
        <v>62.5</v>
      </c>
      <c r="E119" s="15">
        <f>products_export!L119</f>
        <v>52.5</v>
      </c>
      <c r="F119" s="10" t="str">
        <f>products_export!O119</f>
        <v>https://cdn.shopify.com/s/files/1/0790/8529/products/T252-1A.jpeg?v=1425992784</v>
      </c>
      <c r="G119" s="18" t="str">
        <f>products_export!P119</f>
        <v>(display image: Rainbow Reflections Basket)</v>
      </c>
      <c r="H119" t="str">
        <f>products_export!M117</f>
        <v>T229-3A</v>
      </c>
      <c r="I119">
        <f>products_export!N119</f>
        <v>130</v>
      </c>
      <c r="J119" s="7" t="str">
        <f>"img/flowers/"&amp;Data!H119&amp;".png"</f>
        <v>img/flowers/T229-3A.png</v>
      </c>
    </row>
    <row r="120" spans="1:10" x14ac:dyDescent="0.25">
      <c r="A120" t="str">
        <f>products_export!A120</f>
        <v>Rays of Light Spray</v>
      </c>
      <c r="B120" s="10" t="str">
        <f>products_export!E120</f>
        <v>A stunning spray of flowers such as green roses, gladioli and button spray chrysanthemums, pink spray roses and carnations, light pink oriental lilies and snapdragons are arranged with a mix of beautiful greenery in a standing spray of flowers that's delivered on an easel.</v>
      </c>
      <c r="C120" s="16" t="str">
        <f>products_export!H120</f>
        <v>Standing Arrangements</v>
      </c>
      <c r="D120" s="15">
        <f>products_export!K120</f>
        <v>72.5</v>
      </c>
      <c r="E120" s="15">
        <f>products_export!L120</f>
        <v>115</v>
      </c>
      <c r="F120" s="10" t="str">
        <f>products_export!O120</f>
        <v>https://cdn.shopify.com/s/files/1/0790/8529/products/T246-4A.jpeg?v=1425992770</v>
      </c>
      <c r="G120" s="18" t="str">
        <f>products_export!P120</f>
        <v>(display image: Rays of Light Spray)</v>
      </c>
      <c r="H120" t="str">
        <f>products_export!M118</f>
        <v>T273-8A</v>
      </c>
      <c r="I120">
        <f>products_export!N120</f>
        <v>142.94999999999999</v>
      </c>
      <c r="J120" s="7" t="str">
        <f>"img/flowers/"&amp;Data!H120&amp;".png"</f>
        <v>img/flowers/T273-8A.png</v>
      </c>
    </row>
    <row r="121" spans="1:10" x14ac:dyDescent="0.25">
      <c r="A121" t="str">
        <f>products_export!A121</f>
        <v>Red Regards Spray</v>
      </c>
      <c r="B121" s="10" t="str">
        <f>products_export!E121</f>
        <v>A standing spray on an easel decorated with red carnations, gladioli and roses with crimson red streamers.</v>
      </c>
      <c r="C121" s="16" t="str">
        <f>products_export!H121</f>
        <v>Standing Arrangements</v>
      </c>
      <c r="D121" s="15">
        <f>products_export!K121</f>
        <v>70</v>
      </c>
      <c r="E121" s="15">
        <f>products_export!L121</f>
        <v>150</v>
      </c>
      <c r="F121" s="10" t="str">
        <f>products_export!O121</f>
        <v>https://cdn.shopify.com/s/files/1/0790/8529/products/34956.jpeg?v=1425992894</v>
      </c>
      <c r="G121" s="18" t="str">
        <f>products_export!P121</f>
        <v>(display image: Red Regards Spray)</v>
      </c>
      <c r="H121" t="str">
        <f>products_export!M119</f>
        <v>T252-1A</v>
      </c>
      <c r="I121">
        <f>products_export!N121</f>
        <v>129.96</v>
      </c>
      <c r="J121" s="7" t="str">
        <f>"img/flowers/"&amp;Data!H121&amp;".png"</f>
        <v>img/flowers/T252-1A.png</v>
      </c>
    </row>
    <row r="122" spans="1:10" x14ac:dyDescent="0.25">
      <c r="A122" t="str">
        <f>products_export!A122</f>
        <v>Red Regards Wreath</v>
      </c>
      <c r="B122" s="10" t="str">
        <f>products_export!E122</f>
        <v>A simple, yet stylish wreath on an easel arrives with red carnations and roses, along with decorative natural foliage.</v>
      </c>
      <c r="C122" s="16" t="str">
        <f>products_export!H122</f>
        <v>Standing Arrangements</v>
      </c>
      <c r="D122" s="15">
        <f>products_export!K122</f>
        <v>47.5</v>
      </c>
      <c r="E122" s="15">
        <f>products_export!L122</f>
        <v>47.5</v>
      </c>
      <c r="F122" s="10" t="str">
        <f>products_export!O122</f>
        <v>https://cdn.shopify.com/s/files/1/0790/8529/products/34961.jpeg?v=1425992897</v>
      </c>
      <c r="G122" s="18" t="str">
        <f>products_export!P122</f>
        <v>(display image: Red Regards Wreath)</v>
      </c>
      <c r="H122" t="str">
        <f>products_export!M120</f>
        <v>T246-4A</v>
      </c>
      <c r="I122">
        <f>products_export!N122</f>
        <v>144.94999999999999</v>
      </c>
      <c r="J122" s="7" t="str">
        <f>"img/flowers/"&amp;Data!H122&amp;".png"</f>
        <v>img/flowers/T246-4A.png</v>
      </c>
    </row>
    <row r="123" spans="1:10" x14ac:dyDescent="0.25">
      <c r="A123" t="str">
        <f>products_export!A123</f>
        <v>Red Rose Reverence Casket Spray</v>
      </c>
      <c r="B123" s="10" t="str">
        <f>products_export!E123</f>
        <v>_x000D_Rich red roses and carnations are combined with salal and green ivy into a dramatic casket spray</v>
      </c>
      <c r="C123" s="16" t="str">
        <f>products_export!H123</f>
        <v>Casket Sprays</v>
      </c>
      <c r="D123" s="15">
        <f>products_export!K123</f>
        <v>107.5</v>
      </c>
      <c r="E123" s="15">
        <f>products_export!L123</f>
        <v>57.5</v>
      </c>
      <c r="F123" s="10" t="str">
        <f>products_export!O123</f>
        <v>https://cdn.shopify.com/s/files/1/0790/8529/products/T225-3A.jpeg?v=1425992715</v>
      </c>
      <c r="G123" s="18" t="str">
        <f>products_export!P123</f>
        <v>(display image: Red Rose Reverence Casket Spray)</v>
      </c>
      <c r="H123" t="str">
        <f>products_export!M121</f>
        <v>TF206-2</v>
      </c>
      <c r="I123">
        <f>products_export!N123</f>
        <v>304.99</v>
      </c>
      <c r="J123" s="7" t="str">
        <f>"img/flowers/"&amp;Data!H123&amp;".png"</f>
        <v>img/flowers/TF206-2.png</v>
      </c>
    </row>
    <row r="124" spans="1:10" x14ac:dyDescent="0.25">
      <c r="A124" t="str">
        <f>products_export!A124</f>
        <v>Red Rose Sanctuary Casket Spray</v>
      </c>
      <c r="B124" s="10" t="str">
        <f>products_export!E124</f>
        <v>_x000D_Beautiful flowers such as red roses, gerberas, gladioli and carnations set amidst bells of Ireland, sword fern, bupleurum and salal, saddle-mounted for display.</v>
      </c>
      <c r="C124" s="16" t="str">
        <f>products_export!H124</f>
        <v>Casket Sprays</v>
      </c>
      <c r="D124" s="15">
        <f>products_export!K124</f>
        <v>100</v>
      </c>
      <c r="E124" s="15">
        <f>products_export!L124</f>
        <v>67.5</v>
      </c>
      <c r="F124" s="10" t="str">
        <f>products_export!O124</f>
        <v>https://cdn.shopify.com/s/files/1/0790/8529/products/T230-3A.jpeg?v=1425992728</v>
      </c>
      <c r="G124" s="18" t="str">
        <f>products_export!P124</f>
        <v>(display image: Red Rose Sanctuary Casket Spray)</v>
      </c>
      <c r="H124" t="str">
        <f>products_export!M122</f>
        <v>TF207-3</v>
      </c>
      <c r="I124">
        <f>products_export!N124</f>
        <v>254.99</v>
      </c>
      <c r="J124" s="7" t="str">
        <f>"img/flowers/"&amp;Data!H124&amp;".png"</f>
        <v>img/flowers/TF207-3.png</v>
      </c>
    </row>
    <row r="125" spans="1:10" x14ac:dyDescent="0.25">
      <c r="A125" t="str">
        <f>products_export!A125</f>
        <v>Reflections of Glory Wreath</v>
      </c>
      <c r="B125" s="10" t="str">
        <f>products_export!E125</f>
        <v>A patriotic red, white and blue wreath of blue hydrangea, red roses and spray roses, delicate blue delphinium, red gladioli, white cushion spray chrysanthemums and more create a circle of serene beauty.</v>
      </c>
      <c r="C125" s="16" t="str">
        <f>products_export!H125</f>
        <v>Standing Arrangements</v>
      </c>
      <c r="D125" s="15">
        <f>products_export!K125</f>
        <v>62.5</v>
      </c>
      <c r="E125" s="15">
        <f>products_export!L125</f>
        <v>62.5</v>
      </c>
      <c r="F125" s="10" t="str">
        <f>products_export!O125</f>
        <v>https://cdn.shopify.com/s/files/1/0790/8529/products/T241-1A.jpeg?v=1425992754</v>
      </c>
      <c r="G125" s="18" t="str">
        <f>products_export!P125</f>
        <v>(display image: Reflections of Glory Wreath)</v>
      </c>
      <c r="H125" t="str">
        <f>products_export!M123</f>
        <v>T225-3A</v>
      </c>
      <c r="I125">
        <f>products_export!N125</f>
        <v>207.95</v>
      </c>
      <c r="J125" s="7" t="str">
        <f>"img/flowers/"&amp;Data!H125&amp;".png"</f>
        <v>img/flowers/T225-3A.png</v>
      </c>
    </row>
    <row r="126" spans="1:10" x14ac:dyDescent="0.25">
      <c r="A126" t="str">
        <f>products_export!A126</f>
        <v>Reflections of Gratitude Casket Spray</v>
      </c>
      <c r="B126" s="10" t="str">
        <f>products_export!E126</f>
        <v>Lavender roses, purple alstroemeria and other favorites artistically arranged and placed on top of the casket.</v>
      </c>
      <c r="C126" s="16" t="str">
        <f>products_export!H126</f>
        <v>Casket Sprays</v>
      </c>
      <c r="D126" s="15">
        <f>products_export!K126</f>
        <v>117.5</v>
      </c>
      <c r="E126" s="15">
        <f>products_export!L126</f>
        <v>75</v>
      </c>
      <c r="F126" s="10" t="str">
        <f>products_export!O126</f>
        <v>https://cdn.shopify.com/s/files/1/0790/8529/products/T268-3A.jpeg?v=1425992830</v>
      </c>
      <c r="G126" s="18" t="str">
        <f>products_export!P126</f>
        <v>(display image: Reflections of Gratitude Casket Spray)</v>
      </c>
      <c r="H126" t="str">
        <f>products_export!M124</f>
        <v>T230-3A</v>
      </c>
      <c r="I126">
        <f>products_export!N126</f>
        <v>279.95</v>
      </c>
      <c r="J126" s="7" t="str">
        <f>"img/flowers/"&amp;Data!H126&amp;".png"</f>
        <v>img/flowers/T230-3A.png</v>
      </c>
    </row>
    <row r="127" spans="1:10" x14ac:dyDescent="0.25">
      <c r="A127" t="str">
        <f>products_export!A127</f>
        <v>Regal Orchids</v>
      </c>
      <c r="B127" s="10" t="str">
        <f>products_export!E127</f>
        <v>Mixed phalaenopsis orchids - one white, one lavender and one green - are potted in a ceramic planter with river rocks.</v>
      </c>
      <c r="C127" s="16" t="str">
        <f>products_export!H127</f>
        <v>House Plants</v>
      </c>
      <c r="D127" s="15">
        <f>products_export!K127</f>
        <v>35</v>
      </c>
      <c r="E127" s="15">
        <f>products_export!L127</f>
        <v>42.5</v>
      </c>
      <c r="F127" s="10" t="str">
        <f>products_export!O127</f>
        <v>https://cdn.shopify.com/s/files/1/0790/8529/products/T103-1A.jpeg?v=1425992668</v>
      </c>
      <c r="G127" s="18" t="str">
        <f>products_export!P127</f>
        <v>(display image: Regal Orchids)</v>
      </c>
      <c r="H127" t="str">
        <f>products_export!M125</f>
        <v>T241-1A</v>
      </c>
      <c r="I127">
        <f>products_export!N127</f>
        <v>174.95</v>
      </c>
      <c r="J127" s="7" t="str">
        <f>"img/flowers/"&amp;Data!H127&amp;".png"</f>
        <v>img/flowers/T241-1A.png</v>
      </c>
    </row>
    <row r="128" spans="1:10" x14ac:dyDescent="0.25">
      <c r="A128" t="str">
        <f>products_export!A128</f>
        <v>Respectful Pink Wreath</v>
      </c>
      <c r="B128" s="10" t="str">
        <f>products_export!E128</f>
        <v>A wreath created with delicate pink and peach blossoms. One solid flower wreath features roses, carnations, asters and alstroemeria with soft foliage and showers of ribbon on an easel.</v>
      </c>
      <c r="C128" s="16" t="str">
        <f>products_export!H128</f>
        <v>Standing Arrangements</v>
      </c>
      <c r="D128" s="15">
        <f>products_export!K128</f>
        <v>67.5</v>
      </c>
      <c r="E128" s="15">
        <f>products_export!L128</f>
        <v>67.5</v>
      </c>
      <c r="F128" s="10" t="str">
        <f>products_export!O128</f>
        <v>https://cdn.shopify.com/s/files/1/0790/8529/products/34921.jpeg?v=1425992886</v>
      </c>
      <c r="G128" s="18" t="str">
        <f>products_export!P128</f>
        <v>(display image: Respectful Pink Wreath)</v>
      </c>
      <c r="H128" t="str">
        <f>products_export!M126</f>
        <v>T268-3A</v>
      </c>
      <c r="I128">
        <f>products_export!N128</f>
        <v>194.95</v>
      </c>
      <c r="J128" s="7" t="str">
        <f>"img/flowers/"&amp;Data!H128&amp;".png"</f>
        <v>img/flowers/T268-3A.png</v>
      </c>
    </row>
    <row r="129" spans="1:10" x14ac:dyDescent="0.25">
      <c r="A129" t="str">
        <f>products_export!A129</f>
        <v>Ribbon Message</v>
      </c>
      <c r="B129" s="10" t="str">
        <f>products_export!E129</f>
        <v>A large ribbon with your personal message added to the floral bouquet.</v>
      </c>
      <c r="C129" s="16" t="str">
        <f>products_export!H129</f>
        <v>RIBBON</v>
      </c>
      <c r="D129" s="15">
        <f>products_export!K129</f>
        <v>30</v>
      </c>
      <c r="E129" s="15">
        <f>products_export!L129</f>
        <v>60</v>
      </c>
      <c r="F129" s="10" t="str">
        <f>products_export!O129</f>
        <v>https://cdn.shopify.com/s/files/1/0790/8529/products/CasketSprayRibbons140.jpg?v=1428518122</v>
      </c>
      <c r="G129" s="18" t="str">
        <f>products_export!P129</f>
        <v>(display image: Floral Ribbon)</v>
      </c>
      <c r="H129" t="str">
        <f>products_export!M127</f>
        <v>T103-1A</v>
      </c>
      <c r="I129">
        <f>products_export!N129</f>
        <v>5</v>
      </c>
      <c r="J129" s="7" t="str">
        <f>"img/flowers/"&amp;Data!H129&amp;".png"</f>
        <v>img/flowers/T103-1A.png</v>
      </c>
    </row>
    <row r="130" spans="1:10" x14ac:dyDescent="0.25">
      <c r="A130" t="str">
        <f>products_export!A130</f>
        <v>Richly Remembered</v>
      </c>
      <c r="B130" s="10" t="str">
        <f>products_export!E130</f>
        <v>A square wreathmixing bright yellow roses and daisies, purple stock, green cymbidium orchids, hydrangea, gladioli, fuji mums and carnations.</v>
      </c>
      <c r="C130" s="16" t="str">
        <f>products_export!H130</f>
        <v>Standing Arrangements</v>
      </c>
      <c r="D130" s="15">
        <f>products_export!K130</f>
        <v>55</v>
      </c>
      <c r="E130" s="15">
        <f>products_export!L130</f>
        <v>55</v>
      </c>
      <c r="F130" s="10" t="str">
        <f>products_export!O130</f>
        <v>https://cdn.shopify.com/s/files/1/0790/8529/products/T255-2A.jpeg?v=1425992791</v>
      </c>
      <c r="G130" s="18" t="str">
        <f>products_export!P130</f>
        <v>(display image: Richly Remembered)</v>
      </c>
      <c r="H130" t="str">
        <f>products_export!M128</f>
        <v>TF199-3A</v>
      </c>
      <c r="I130">
        <f>products_export!N130</f>
        <v>227.95</v>
      </c>
      <c r="J130" s="7" t="str">
        <f>"img/flowers/"&amp;Data!H130&amp;".png"</f>
        <v>img/flowers/TF199-3A.png</v>
      </c>
    </row>
    <row r="131" spans="1:10" x14ac:dyDescent="0.25">
      <c r="A131" t="str">
        <f>products_export!A131</f>
        <v>Ringed by Love</v>
      </c>
      <c r="B131" s="10" t="str">
        <f>products_export!E131</f>
        <v>A standing wreath of dazzling flowers such as green hydrangea, hot pink spray roses, pink gladioli and carnations along with a multi-colored daisy spray and cushion spray chrysanthemums and greenery, delivered on an easel.</v>
      </c>
      <c r="C131" s="16" t="str">
        <f>products_export!H131</f>
        <v>Standing Arrangements</v>
      </c>
      <c r="D131" s="15">
        <f>products_export!K131</f>
        <v>62.5</v>
      </c>
      <c r="E131" s="15">
        <f>products_export!L131</f>
        <v>62.5</v>
      </c>
      <c r="F131" s="10" t="str">
        <f>products_export!O131</f>
        <v>https://cdn.shopify.com/s/files/1/0790/8529/products/T239-4A.jpeg?v=1425992749</v>
      </c>
      <c r="G131" s="18" t="str">
        <f>products_export!P131</f>
        <v>(display image: Ringed by Love)</v>
      </c>
      <c r="H131" t="str">
        <f>products_export!M129</f>
        <v>RIBBON</v>
      </c>
      <c r="I131">
        <f>products_export!N131</f>
        <v>162.94999999999999</v>
      </c>
      <c r="J131" s="7" t="str">
        <f>"img/flowers/"&amp;Data!H131&amp;".png"</f>
        <v>img/flowers/RIBBON.png</v>
      </c>
    </row>
    <row r="132" spans="1:10" x14ac:dyDescent="0.25">
      <c r="A132" t="str">
        <f>products_export!A132</f>
        <v>River Cane Cross</v>
      </c>
      <c r="B132" s="10" t="str">
        <f>products_export!E132</f>
        <v>A natural river cane cross is adorned with a brilliant display of flowers and greenery, such as orange mokara orchids, roses and spray roses, green ti leaves, umbrella and sword fern and galax leaves, all in an arrangement that is as exceptional as it is beautiful.</v>
      </c>
      <c r="C132" s="16" t="str">
        <f>products_export!H132</f>
        <v>Standing Arrangements</v>
      </c>
      <c r="D132" s="15">
        <f>products_export!K132</f>
        <v>70</v>
      </c>
      <c r="E132" s="15">
        <f>products_export!L132</f>
        <v>127.5</v>
      </c>
      <c r="F132" s="10" t="str">
        <f>products_export!O132</f>
        <v>https://cdn.shopify.com/s/files/1/0790/8529/products/T244-2A.jpeg?v=1425992762</v>
      </c>
      <c r="G132" s="18" t="str">
        <f>products_export!P132</f>
        <v>(display image: River Cane Cross)</v>
      </c>
      <c r="H132" t="str">
        <f>products_export!M130</f>
        <v>T255-2A</v>
      </c>
      <c r="I132">
        <f>products_export!N132</f>
        <v>134.94999999999999</v>
      </c>
      <c r="J132" s="7" t="str">
        <f>"img/flowers/"&amp;Data!H132&amp;".png"</f>
        <v>img/flowers/T255-2A.png</v>
      </c>
    </row>
    <row r="133" spans="1:10" x14ac:dyDescent="0.25">
      <c r="A133" t="str">
        <f>products_export!A133</f>
        <v>Roman Holiday</v>
      </c>
      <c r="B133" s="10" t="str">
        <f>products_export!E133</f>
        <v>Beautiful dark pink hydrangea, red and lavender roses, carnations in dark purple and lavender, hot pink freesia and lavender phlox are perfectly arranged in a simply lovely cylinder vase.</v>
      </c>
      <c r="C133" s="16" t="str">
        <f>products_export!H133</f>
        <v>Floral Vases</v>
      </c>
      <c r="D133" s="15">
        <f>products_export!K133</f>
        <v>30</v>
      </c>
      <c r="E133" s="15">
        <f>products_export!L133</f>
        <v>35</v>
      </c>
      <c r="F133" s="10" t="str">
        <f>products_export!O133</f>
        <v>https://cdn.shopify.com/s/files/1/0790/8529/products/T10-1A.jpeg?v=1425992666</v>
      </c>
      <c r="G133" s="18" t="str">
        <f>products_export!P133</f>
        <v>(display image: Roman Holiday)</v>
      </c>
      <c r="H133" t="str">
        <f>products_export!M131</f>
        <v>T239-4A</v>
      </c>
      <c r="I133">
        <f>products_export!N133</f>
        <v>154.94999999999999</v>
      </c>
      <c r="J133" s="7" t="str">
        <f>"img/flowers/"&amp;Data!H133&amp;".png"</f>
        <v>img/flowers/T239-4A.png</v>
      </c>
    </row>
    <row r="134" spans="1:10" x14ac:dyDescent="0.25">
      <c r="A134" t="str">
        <f>products_export!A134</f>
        <v>Rose Garden Heart</v>
      </c>
      <c r="B134" s="10" t="str">
        <f>products_export!E134</f>
        <v>Lovely flowers such as light pink roses, hydrangea and miniature carnations mix with lavender button spray chrysanthemums.</v>
      </c>
      <c r="C134" s="16" t="str">
        <f>products_export!H134</f>
        <v>Standing Arrangements</v>
      </c>
      <c r="D134" s="15">
        <f>products_export!K134</f>
        <v>45</v>
      </c>
      <c r="E134" s="15">
        <f>products_export!L134</f>
        <v>47.5</v>
      </c>
      <c r="F134" s="10" t="str">
        <f>products_export!O134</f>
        <v>https://cdn.shopify.com/s/files/1/0790/8529/products/T238-2A.jpeg?v=1425992745</v>
      </c>
      <c r="G134" s="18" t="str">
        <f>products_export!P134</f>
        <v>(display image: Rose Garden Heart)</v>
      </c>
      <c r="H134" t="str">
        <f>products_export!M132</f>
        <v>T244-2A</v>
      </c>
      <c r="I134">
        <f>products_export!N134</f>
        <v>182.95</v>
      </c>
      <c r="J134" s="7" t="str">
        <f>"img/flowers/"&amp;Data!H134&amp;".png"</f>
        <v>img/flowers/T244-2A.png</v>
      </c>
    </row>
    <row r="135" spans="1:10" x14ac:dyDescent="0.25">
      <c r="A135" t="str">
        <f>products_export!A135</f>
        <v>Rose Impression</v>
      </c>
      <c r="B135" s="10" t="str">
        <f>products_export!E135</f>
        <v xml:space="preserve"> Classic red roses hand-tied with generous yards of satin ribbon.</v>
      </c>
      <c r="C135" s="16" t="str">
        <f>products_export!H135</f>
        <v>Casket Sprays</v>
      </c>
      <c r="D135" s="15">
        <f>products_export!K135</f>
        <v>57.5</v>
      </c>
      <c r="E135" s="15">
        <f>products_export!L135</f>
        <v>30</v>
      </c>
      <c r="F135" s="10" t="str">
        <f>products_export!O135</f>
        <v>https://cdn.shopify.com/s/files/1/0790/8529/products/T230-2A.jpeg?v=1425992727</v>
      </c>
      <c r="G135" s="18" t="str">
        <f>products_export!P135</f>
        <v>(display image: Rose Impression)</v>
      </c>
      <c r="H135" t="str">
        <f>products_export!M133</f>
        <v>T10-1A</v>
      </c>
      <c r="I135">
        <f>products_export!N135</f>
        <v>94.95</v>
      </c>
      <c r="J135" s="7" t="str">
        <f>"img/flowers/"&amp;Data!H135&amp;".png"</f>
        <v>img/flowers/T10-1A.png</v>
      </c>
    </row>
    <row r="136" spans="1:10" x14ac:dyDescent="0.25">
      <c r="A136" t="str">
        <f>products_export!A136</f>
        <v>Rose Reflection Casket Insert</v>
      </c>
      <c r="B136" s="10" t="str">
        <f>products_export!E136</f>
        <v>Hot pink spray roses and light pink miniature carnations tied with pink satin ribbon, accented with green ivy.</v>
      </c>
      <c r="C136" s="16" t="str">
        <f>products_export!H136</f>
        <v>Casket Sprays</v>
      </c>
      <c r="D136" s="15">
        <f>products_export!K136</f>
        <v>27.5</v>
      </c>
      <c r="E136" s="15">
        <f>products_export!L136</f>
        <v>40</v>
      </c>
      <c r="F136" s="10" t="str">
        <f>products_export!O136</f>
        <v>https://cdn.shopify.com/s/files/1/0790/8529/products/T259-2A.jpeg?v=1425992800</v>
      </c>
      <c r="G136" s="18" t="str">
        <f>products_export!P136</f>
        <v>(display image: Rose Reflection Casket Insert)</v>
      </c>
      <c r="H136" t="str">
        <f>products_export!M134</f>
        <v>T238-2A</v>
      </c>
      <c r="I136">
        <f>products_export!N136</f>
        <v>69.989999999999995</v>
      </c>
      <c r="J136" s="7" t="str">
        <f>"img/flowers/"&amp;Data!H136&amp;".png"</f>
        <v>img/flowers/T238-2A.png</v>
      </c>
    </row>
    <row r="137" spans="1:10" x14ac:dyDescent="0.25">
      <c r="A137" t="str">
        <f>products_export!A137</f>
        <v>Rose Repose</v>
      </c>
      <c r="B137" s="10" t="str">
        <f>products_export!E137</f>
        <v>Hot pink roses are planted in a classic ceramic planter.</v>
      </c>
      <c r="C137" s="16" t="str">
        <f>products_export!H137</f>
        <v>House Plants</v>
      </c>
      <c r="D137" s="15">
        <f>products_export!K137</f>
        <v>37.5</v>
      </c>
      <c r="E137" s="15">
        <f>products_export!L137</f>
        <v>30</v>
      </c>
      <c r="F137" s="10" t="str">
        <f>products_export!O137</f>
        <v>https://cdn.shopify.com/s/files/1/0790/8529/products/T96-3A.jpeg?v=1425992862</v>
      </c>
      <c r="G137" s="18" t="str">
        <f>products_export!P137</f>
        <v>(display image: Rose Repose)</v>
      </c>
      <c r="H137" t="str">
        <f>products_export!M135</f>
        <v>T230-2A</v>
      </c>
      <c r="I137">
        <f>products_export!N137</f>
        <v>72.95</v>
      </c>
      <c r="J137" s="7" t="str">
        <f>"img/flowers/"&amp;Data!H137&amp;".png"</f>
        <v>img/flowers/T230-2A.png</v>
      </c>
    </row>
    <row r="138" spans="1:10" x14ac:dyDescent="0.25">
      <c r="A138" t="str">
        <f>products_export!A138</f>
        <v>Royal Radiance</v>
      </c>
      <c r="B138" s="10" t="str">
        <f>products_export!E138</f>
        <v>Pink roses, snapdragons, Oriental lilies and heather, hot pink peonies, light pink tulips and green hydrangea - plus purple tulips, hydrangea and stock - are delivered in a clear glass hurricane vase.</v>
      </c>
      <c r="C138" s="16" t="str">
        <f>products_export!H138</f>
        <v>Floral Vases</v>
      </c>
      <c r="D138" s="15">
        <f>products_export!K138</f>
        <v>47.5</v>
      </c>
      <c r="E138" s="15">
        <f>products_export!L138</f>
        <v>55</v>
      </c>
      <c r="F138" s="10" t="str">
        <f>products_export!O138</f>
        <v>https://cdn.shopify.com/s/files/1/0790/8529/products/159149.jpeg?v=1425992906</v>
      </c>
      <c r="G138" s="18" t="str">
        <f>products_export!P138</f>
        <v>(display image: Royal Radiance)</v>
      </c>
      <c r="H138" t="str">
        <f>products_export!M136</f>
        <v>T259-2A</v>
      </c>
      <c r="I138">
        <f>products_export!N138</f>
        <v>194.95</v>
      </c>
      <c r="J138" s="7" t="str">
        <f>"img/flowers/"&amp;Data!H138&amp;".png"</f>
        <v>img/flowers/T259-2A.png</v>
      </c>
    </row>
    <row r="139" spans="1:10" x14ac:dyDescent="0.25">
      <c r="A139" t="str">
        <f>products_export!A139</f>
        <v>Sacred Duty Spray</v>
      </c>
      <c r="B139" s="10" t="str">
        <f>products_export!E139</f>
        <v>A patriotic spray adorned with yards of multicolored  ribbon, featuring flowers such as red carnations, white asiatic lilies and snapdragons, and blue delphinium, along with an assortment of greens.</v>
      </c>
      <c r="C139" s="16" t="str">
        <f>products_export!H139</f>
        <v>Standing Arrangements</v>
      </c>
      <c r="D139" s="15">
        <f>products_export!K139</f>
        <v>67.5</v>
      </c>
      <c r="E139" s="15">
        <f>products_export!L139</f>
        <v>105</v>
      </c>
      <c r="F139" s="10" t="str">
        <f>products_export!O139</f>
        <v>https://cdn.shopify.com/s/files/1/0790/8529/products/T240-2A.jpeg?v=1425992751</v>
      </c>
      <c r="G139" s="18" t="str">
        <f>products_export!P139</f>
        <v>(display image: Sacred Duty Spray)</v>
      </c>
      <c r="H139" t="str">
        <f>products_export!M137</f>
        <v>T96-3A</v>
      </c>
      <c r="I139">
        <f>products_export!N139</f>
        <v>179.99</v>
      </c>
      <c r="J139" s="7" t="str">
        <f>"img/flowers/"&amp;Data!H139&amp;".png"</f>
        <v>img/flowers/T96-3A.png</v>
      </c>
    </row>
    <row r="140" spans="1:10" x14ac:dyDescent="0.25">
      <c r="A140" t="str">
        <f>products_export!A140</f>
        <v>Sacred Garden Spray</v>
      </c>
      <c r="B140" s="10" t="str">
        <f>products_export!E140</f>
        <v>Lavender, purple and white flowers like hydrangea, orchids, roses, oriental lilies and more create a beautiful spray.</v>
      </c>
      <c r="C140" s="16" t="str">
        <f>products_export!H140</f>
        <v>Standing Arrangements</v>
      </c>
      <c r="D140" s="15">
        <f>products_export!K140</f>
        <v>65</v>
      </c>
      <c r="E140" s="15">
        <f>products_export!L140</f>
        <v>127.5</v>
      </c>
      <c r="F140" s="10" t="str">
        <f>products_export!O140</f>
        <v>https://cdn.shopify.com/s/files/1/0790/8529/products/T249-4A.jpeg?v=1425992779</v>
      </c>
      <c r="G140" s="18" t="str">
        <f>products_export!P140</f>
        <v>(display image: Sacred Garden Spray)</v>
      </c>
      <c r="H140" t="str">
        <f>products_export!M138</f>
        <v>TFWEB132</v>
      </c>
      <c r="I140">
        <f>products_export!N140</f>
        <v>197.95</v>
      </c>
      <c r="J140" s="7" t="str">
        <f>"img/flowers/"&amp;Data!H140&amp;".png"</f>
        <v>img/flowers/TFWEB132.png</v>
      </c>
    </row>
    <row r="141" spans="1:10" x14ac:dyDescent="0.25">
      <c r="A141" t="str">
        <f>products_export!A141</f>
        <v>Secret Garden Basket</v>
      </c>
      <c r="B141" s="10" t="str">
        <f>products_export!E141</f>
        <v>A round wicker flower basket holding five unique potted plant varieties: maidenhair fern, Boston fern, pink kalanchoe, pink hypoestes and green nephthytis.</v>
      </c>
      <c r="C141" s="16" t="str">
        <f>products_export!H141</f>
        <v>House Plants</v>
      </c>
      <c r="D141" s="15">
        <f>products_export!K141</f>
        <v>40</v>
      </c>
      <c r="E141" s="15">
        <f>products_export!L141</f>
        <v>40</v>
      </c>
      <c r="F141" s="10" t="str">
        <f>products_export!O141</f>
        <v>https://cdn.shopify.com/s/files/1/0790/8529/products/T96-2A.jpeg?v=1425992861</v>
      </c>
      <c r="G141" s="18" t="str">
        <f>products_export!P141</f>
        <v>(display image: Secret Garden Basket)</v>
      </c>
      <c r="H141" t="str">
        <f>products_export!M139</f>
        <v>T240-2A</v>
      </c>
      <c r="I141">
        <f>products_export!N141</f>
        <v>69.95</v>
      </c>
      <c r="J141" s="7" t="str">
        <f>"img/flowers/"&amp;Data!H141&amp;".png"</f>
        <v>img/flowers/T240-2A.png</v>
      </c>
    </row>
    <row r="142" spans="1:10" x14ac:dyDescent="0.25">
      <c r="A142" t="str">
        <f>products_export!A142</f>
        <v>Sentimental Gladioli Spray</v>
      </c>
      <c r="B142" s="10" t="str">
        <f>products_export!E142</f>
        <v>A lovely spray combining  pink and peach gladioli, tied with a pink satin ribbon and delivered on an easel.</v>
      </c>
      <c r="C142" s="16" t="str">
        <f>products_export!H142</f>
        <v>Standing Arrangements</v>
      </c>
      <c r="D142" s="15">
        <f>products_export!K142</f>
        <v>67.5</v>
      </c>
      <c r="E142" s="15">
        <f>products_export!L142</f>
        <v>120</v>
      </c>
      <c r="F142" s="10" t="str">
        <f>products_export!O142</f>
        <v>https://cdn.shopify.com/s/files/1/0790/8529/products/34888.jpeg?v=1425992876</v>
      </c>
      <c r="G142" s="18" t="str">
        <f>products_export!P142</f>
        <v>(display image: Sentimental Gladioli Spray)</v>
      </c>
      <c r="H142" t="str">
        <f>products_export!M140</f>
        <v>T249-4A</v>
      </c>
      <c r="I142">
        <f>products_export!N142</f>
        <v>99.95</v>
      </c>
      <c r="J142" s="7" t="str">
        <f>"img/flowers/"&amp;Data!H142&amp;".png"</f>
        <v>img/flowers/T249-4A.png</v>
      </c>
    </row>
    <row r="143" spans="1:10" x14ac:dyDescent="0.25">
      <c r="A143" t="str">
        <f>products_export!A143</f>
        <v>Sentiments of Serenity Spray</v>
      </c>
      <c r="B143" s="10" t="str">
        <f>products_export!E143</f>
        <v>As gorgeous spray of white roses,white Asiatic lilies and white carnations, accented with assorted greenery and decorated with a tasteful white satin ribbon.</v>
      </c>
      <c r="C143" s="16" t="str">
        <f>products_export!H143</f>
        <v>Standing Arrangements</v>
      </c>
      <c r="D143" s="15">
        <f>products_export!K143</f>
        <v>62.5</v>
      </c>
      <c r="E143" s="15">
        <f>products_export!L143</f>
        <v>90</v>
      </c>
      <c r="F143" s="10" t="str">
        <f>products_export!O143</f>
        <v>https://cdn.shopify.com/s/files/1/0790/8529/products/T262-1A.jpeg?v=1425992810</v>
      </c>
      <c r="G143" s="18" t="str">
        <f>products_export!P143</f>
        <v>(display image: Sentiments of Serenity Spray)</v>
      </c>
      <c r="H143" t="str">
        <f>products_export!M141</f>
        <v>T96-2A</v>
      </c>
      <c r="I143">
        <f>products_export!N143</f>
        <v>179.99</v>
      </c>
      <c r="J143" s="7" t="str">
        <f>"img/flowers/"&amp;Data!H143&amp;".png"</f>
        <v>img/flowers/T96-2A.png</v>
      </c>
    </row>
    <row r="144" spans="1:10" x14ac:dyDescent="0.25">
      <c r="A144" t="str">
        <f>products_export!A144</f>
        <v>Serene Reflections Bouquet</v>
      </c>
      <c r="B144" s="10" t="str">
        <f>products_export!E144</f>
        <v>White roses, white alstroemeria, white carnations, white snapdragons and white spider chrysanthemums, accented with assorted greenery and delivered in a silver jardinere vase.</v>
      </c>
      <c r="C144" s="16" t="str">
        <f>products_export!H144</f>
        <v>Funeral Baskets</v>
      </c>
      <c r="D144" s="15">
        <f>products_export!K144</f>
        <v>77.5</v>
      </c>
      <c r="E144" s="15">
        <f>products_export!L144</f>
        <v>87.5</v>
      </c>
      <c r="F144" s="10" t="str">
        <f>products_export!O144</f>
        <v>https://cdn.shopify.com/s/files/1/0790/8529/products/T265-1A.jpeg?v=1425992820</v>
      </c>
      <c r="G144" s="18" t="str">
        <f>products_export!P144</f>
        <v>(display image: Serene Reflections Bouquet)</v>
      </c>
      <c r="H144" t="str">
        <f>products_export!M142</f>
        <v>TF189-2</v>
      </c>
      <c r="I144">
        <f>products_export!N144</f>
        <v>154.99</v>
      </c>
      <c r="J144" s="7" t="str">
        <f>"img/flowers/"&amp;Data!H144&amp;".png"</f>
        <v>img/flowers/TF189-2.png</v>
      </c>
    </row>
    <row r="145" spans="1:10" x14ac:dyDescent="0.25">
      <c r="A145" t="str">
        <f>products_export!A145</f>
        <v>Serenity Wreath</v>
      </c>
      <c r="B145" s="10" t="str">
        <f>products_export!E145</f>
        <v>A ring of fragrant, bright white blossoms will create a serene display at any funeral or wake. A classic wreath of bright white blossoms  is delivered on an easel. Created from fresh white flowers such as roses, Asiatic lilies, carnations and cushion spray chrysanthemums accented with greenery.</v>
      </c>
      <c r="C145" s="16" t="str">
        <f>products_export!H145</f>
        <v>Standing Arrangements</v>
      </c>
      <c r="D145" s="15">
        <f>products_export!K145</f>
        <v>55</v>
      </c>
      <c r="E145" s="15">
        <f>products_export!L145</f>
        <v>55</v>
      </c>
      <c r="F145" s="10" t="str">
        <f>products_export!O145</f>
        <v>https://cdn.shopify.com/s/files/1/0790/8529/products/T239-3A.jpeg?v=1425992748</v>
      </c>
      <c r="G145" s="18" t="str">
        <f>products_export!P145</f>
        <v>(display image: Serenity Wreath)</v>
      </c>
      <c r="H145" t="str">
        <f>products_export!M143</f>
        <v>T262-1A</v>
      </c>
      <c r="I145">
        <f>products_export!N145</f>
        <v>254.95</v>
      </c>
      <c r="J145" s="7" t="str">
        <f>"img/flowers/"&amp;Data!H145&amp;".png"</f>
        <v>img/flowers/T262-1A.png</v>
      </c>
    </row>
    <row r="146" spans="1:10" x14ac:dyDescent="0.25">
      <c r="A146" t="str">
        <f>products_export!A146</f>
        <v>Shades Of Faith</v>
      </c>
      <c r="B146" s="10" t="str">
        <f>products_export!E146</f>
        <v>Pink stargazer lilies, lavender roses and yellow snapdragons are arranged with peach gerberas, hot pink carnations, lavender stock, bells of Ireland, purple larkspur, spiral eucalyptus and lemon leaf.</v>
      </c>
      <c r="C146" s="16" t="str">
        <f>products_export!H146</f>
        <v>Urn Arrangements</v>
      </c>
      <c r="D146" s="15">
        <f>products_export!K146</f>
        <v>72.5</v>
      </c>
      <c r="E146" s="15">
        <f>products_export!L146</f>
        <v>65</v>
      </c>
      <c r="F146" s="10" t="str">
        <f>products_export!O146</f>
        <v>https://cdn.shopify.com/s/files/1/0790/8529/products/T273-7A.jpeg?v=1425992845</v>
      </c>
      <c r="G146" s="18" t="str">
        <f>products_export!P146</f>
        <v>(display image: Shades Of Faith)</v>
      </c>
      <c r="H146" t="str">
        <f>products_export!M144</f>
        <v>T265-1A</v>
      </c>
      <c r="I146">
        <f>products_export!N146</f>
        <v>119.95</v>
      </c>
      <c r="J146" s="7" t="str">
        <f>"img/flowers/"&amp;Data!H146&amp;".png"</f>
        <v>img/flowers/T265-1A.png</v>
      </c>
    </row>
    <row r="147" spans="1:10" x14ac:dyDescent="0.25">
      <c r="A147" t="str">
        <f>products_export!A147</f>
        <v>Shining Sentiments Spray</v>
      </c>
      <c r="B147" s="10" t="str">
        <f>products_export!E147</f>
        <v>A spray of yellow sunflowers and gerberas, along with curly willow and decorative foliage, delivered on an easel.</v>
      </c>
      <c r="C147" s="16" t="str">
        <f>products_export!H147</f>
        <v>Standing Arrangements</v>
      </c>
      <c r="D147" s="15">
        <f>products_export!K147</f>
        <v>75</v>
      </c>
      <c r="E147" s="15">
        <f>products_export!L147</f>
        <v>112.5</v>
      </c>
      <c r="F147" s="10" t="str">
        <f>products_export!O147</f>
        <v>https://cdn.shopify.com/s/files/1/0790/8529/products/34891.jpeg?v=1425992879</v>
      </c>
      <c r="G147" s="18" t="str">
        <f>products_export!P147</f>
        <v>(display image: Shining Sentiments Spray)</v>
      </c>
      <c r="H147" t="str">
        <f>products_export!M145</f>
        <v>T239-3A</v>
      </c>
      <c r="I147">
        <f>products_export!N147</f>
        <v>104.95</v>
      </c>
      <c r="J147" s="7" t="str">
        <f>"img/flowers/"&amp;Data!H147&amp;".png"</f>
        <v>img/flowers/T239-3A.png</v>
      </c>
    </row>
    <row r="148" spans="1:10" x14ac:dyDescent="0.25">
      <c r="A148" t="str">
        <f>products_export!A148</f>
        <v>Silken Serenity Casket Spray</v>
      </c>
      <c r="B148" s="10" t="str">
        <f>products_export!E148</f>
        <v xml:space="preserve"> Lovely flowers such as creme roses, white gladioli, stock and carnations, gracefully arranged with sword fern and other greens.</v>
      </c>
      <c r="C148" s="16" t="str">
        <f>products_export!H148</f>
        <v>Casket Sprays</v>
      </c>
      <c r="D148" s="15">
        <f>products_export!K148</f>
        <v>107.5</v>
      </c>
      <c r="E148" s="15">
        <f>products_export!L148</f>
        <v>72.5</v>
      </c>
      <c r="F148" s="10" t="str">
        <f>products_export!O148</f>
        <v>https://cdn.shopify.com/s/files/1/0790/8529/products/T232-3A.jpeg?v=1425992733</v>
      </c>
      <c r="G148" s="18" t="str">
        <f>products_export!P148</f>
        <v>(display image: Silken Serenity Casket Spray)</v>
      </c>
      <c r="H148" t="str">
        <f>products_export!M146</f>
        <v>T273-7A</v>
      </c>
      <c r="I148">
        <f>products_export!N148</f>
        <v>304.99</v>
      </c>
      <c r="J148" s="7" t="str">
        <f>"img/flowers/"&amp;Data!H148&amp;".png"</f>
        <v>img/flowers/T273-7A.png</v>
      </c>
    </row>
    <row r="149" spans="1:10" x14ac:dyDescent="0.25">
      <c r="A149" t="str">
        <f>products_export!A149</f>
        <v>Simply Elegant Spathiphyllum - Large</v>
      </c>
      <c r="B149" s="10" t="str">
        <f>products_export!E149</f>
        <v>This large spathiphyllum is delivered in a charming 12" basket.</v>
      </c>
      <c r="C149" s="16" t="str">
        <f>products_export!H149</f>
        <v>House Plants</v>
      </c>
      <c r="D149" s="15">
        <f>products_export!K149</f>
        <v>67.5</v>
      </c>
      <c r="E149" s="15">
        <f>products_export!L149</f>
        <v>100</v>
      </c>
      <c r="F149" s="10" t="str">
        <f>products_export!O149</f>
        <v>https://cdn.shopify.com/s/files/1/0790/8529/products/T105-3A.jpeg?v=1425992674</v>
      </c>
      <c r="G149" s="18" t="str">
        <f>products_export!P149</f>
        <v>(display image: Simply Elegant Spathiphyllum - Large)</v>
      </c>
      <c r="H149" t="str">
        <f>products_export!M147</f>
        <v>TF189-5</v>
      </c>
      <c r="I149">
        <f>products_export!N149</f>
        <v>69.95</v>
      </c>
      <c r="J149" s="7" t="str">
        <f>"img/flowers/"&amp;Data!H149&amp;".png"</f>
        <v>img/flowers/TF189-5.png</v>
      </c>
    </row>
    <row r="150" spans="1:10" x14ac:dyDescent="0.25">
      <c r="A150" t="str">
        <f>products_export!A150</f>
        <v>Simply Elegant Spathiphyllum - Med.</v>
      </c>
      <c r="B150" s="10" t="str">
        <f>products_export!E150</f>
        <v>This spathiphyllum comes in an 8" woven wicker basket.</v>
      </c>
      <c r="C150" s="16" t="str">
        <f>products_export!H150</f>
        <v>House Plants</v>
      </c>
      <c r="D150" s="15">
        <f>products_export!K150</f>
        <v>80</v>
      </c>
      <c r="E150" s="15">
        <f>products_export!L150</f>
        <v>92.5</v>
      </c>
      <c r="F150" s="10" t="str">
        <f>products_export!O150</f>
        <v>https://cdn.shopify.com/s/files/1/0790/8529/products/T105-2A.jpeg?v=1425992673</v>
      </c>
      <c r="G150" s="18" t="str">
        <f>products_export!P150</f>
        <v>(display image: Simply Elegant Spathiphyllum - Med.)</v>
      </c>
      <c r="H150" t="str">
        <f>products_export!M148</f>
        <v>T232-3A</v>
      </c>
      <c r="I150">
        <f>products_export!N150</f>
        <v>59.95</v>
      </c>
      <c r="J150" s="7" t="str">
        <f>"img/flowers/"&amp;Data!H150&amp;".png"</f>
        <v>img/flowers/T232-3A.png</v>
      </c>
    </row>
    <row r="151" spans="1:10" x14ac:dyDescent="0.25">
      <c r="A151" t="str">
        <f>products_export!A151</f>
        <v>Simply Elegant Spathiphyllum - Small</v>
      </c>
      <c r="B151" s="10" t="str">
        <f>products_export!E151</f>
        <v>A brilliant green spathiphyllum is delivered in a natural wicker basket.</v>
      </c>
      <c r="C151" s="16" t="str">
        <f>products_export!H151</f>
        <v>House Plants</v>
      </c>
      <c r="D151" s="15">
        <f>products_export!K151</f>
        <v>55</v>
      </c>
      <c r="E151" s="15">
        <f>products_export!L151</f>
        <v>75</v>
      </c>
      <c r="F151" s="10" t="str">
        <f>products_export!O151</f>
        <v>https://cdn.shopify.com/s/files/1/0790/8529/products/T105-1A.jpeg?v=1425992672</v>
      </c>
      <c r="G151" s="18" t="str">
        <f>products_export!P151</f>
        <v>(display image: Simply Elegant Spathiphyllum - Small)</v>
      </c>
      <c r="H151" t="str">
        <f>products_export!M148</f>
        <v>T232-3A</v>
      </c>
      <c r="I151">
        <f>products_export!N151</f>
        <v>44.95</v>
      </c>
      <c r="J151" s="7" t="str">
        <f>"img/flowers/"&amp;Data!H151&amp;".png"</f>
        <v>img/flowers/T232-3A.png</v>
      </c>
    </row>
    <row r="152" spans="1:10" x14ac:dyDescent="0.25">
      <c r="A152" t="str">
        <f>products_export!A152</f>
        <v>Small Garden Dish</v>
      </c>
      <c r="B152" s="10" t="str">
        <f>products_export!E152</f>
        <v>A mix of living potted plants is arranged in a green ceramic dish for a stylish, monochromatic look.&lt;br&gt;&lt;br&gt;_x000D_Dieffenbachia, dracaena sanderiana, variegated ivy, palm, variegated peperomia and green philodendron.</v>
      </c>
      <c r="C152" s="16" t="str">
        <f>products_export!H152</f>
        <v>House Plants</v>
      </c>
      <c r="D152" s="15">
        <f>products_export!K152</f>
        <v>32.5</v>
      </c>
      <c r="E152" s="15">
        <f>products_export!L152</f>
        <v>27.5</v>
      </c>
      <c r="F152" s="10" t="str">
        <f>products_export!O152</f>
        <v>https://cdn.shopify.com/s/files/1/0790/8529/products/T212-3A.jpeg?v=1425992692</v>
      </c>
      <c r="G152" s="18" t="str">
        <f>products_export!P152</f>
        <v>(display image: Small Garden Dish)</v>
      </c>
      <c r="H152" t="str">
        <f>products_export!M149</f>
        <v>T105-3A</v>
      </c>
      <c r="I152">
        <f>products_export!N152</f>
        <v>64.989999999999995</v>
      </c>
      <c r="J152" s="7" t="str">
        <f>"img/flowers/"&amp;Data!H152&amp;".png"</f>
        <v>img/flowers/T105-3A.png</v>
      </c>
    </row>
    <row r="153" spans="1:10" x14ac:dyDescent="0.25">
      <c r="A153" t="str">
        <f>products_export!A153</f>
        <v>So Stylish</v>
      </c>
      <c r="B153" s="10" t="str">
        <f>products_export!E153</f>
        <v>Hot pink roses, spray roses, ranunculus and peonies, purple cymbidium orchids, pink Oriental lilies, lavender stock and green hydrangea - accented with seeded eucalyptus and black pittosporum - are delivered in a clear glass cylinder vase.</v>
      </c>
      <c r="C153" s="16" t="str">
        <f>products_export!H153</f>
        <v>Floral Vases</v>
      </c>
      <c r="D153" s="15">
        <f>products_export!K153</f>
        <v>40</v>
      </c>
      <c r="E153" s="15">
        <f>products_export!L153</f>
        <v>40</v>
      </c>
      <c r="F153" s="10" t="str">
        <f>products_export!O153</f>
        <v>https://cdn.shopify.com/s/files/1/0790/8529/products/163835.jpeg?v=1425992908</v>
      </c>
      <c r="G153" s="18" t="str">
        <f>products_export!P153</f>
        <v>(display image: So Stylish)</v>
      </c>
      <c r="H153" t="str">
        <f>products_export!M150</f>
        <v>T105-2A</v>
      </c>
      <c r="I153">
        <f>products_export!N153</f>
        <v>194.95</v>
      </c>
      <c r="J153" s="7" t="str">
        <f>"img/flowers/"&amp;Data!H153&amp;".png"</f>
        <v>img/flowers/T105-2A.png</v>
      </c>
    </row>
    <row r="154" spans="1:10" x14ac:dyDescent="0.25">
      <c r="A154" t="str">
        <f>products_export!A154</f>
        <v>Spring Has Sprung Mixed Basket</v>
      </c>
      <c r="B154" s="10" t="str">
        <f>products_export!E154</f>
        <v>A purple African violet, yellow begonia, pink kalanchoe and white hypoestes are arranged in a pretty round basket.</v>
      </c>
      <c r="C154" s="16" t="str">
        <f>products_export!H154</f>
        <v>House Plants</v>
      </c>
      <c r="D154" s="15">
        <f>products_export!K154</f>
        <v>30</v>
      </c>
      <c r="E154" s="15">
        <f>products_export!L154</f>
        <v>32.5</v>
      </c>
      <c r="F154" s="10" t="str">
        <f>products_export!O154</f>
        <v>https://cdn.shopify.com/s/files/1/0790/8529/products/T93-1A.jpeg?v=1425992857</v>
      </c>
      <c r="G154" s="18" t="str">
        <f>products_export!P154</f>
        <v>(display image: Spring Has Sprung Mixed Basket)</v>
      </c>
      <c r="H154" t="str">
        <f>products_export!M151</f>
        <v>T105-1A</v>
      </c>
      <c r="I154">
        <f>products_export!N154</f>
        <v>62.95</v>
      </c>
      <c r="J154" s="7" t="str">
        <f>"img/flowers/"&amp;Data!H154&amp;".png"</f>
        <v>img/flowers/T105-1A.png</v>
      </c>
    </row>
    <row r="155" spans="1:10" x14ac:dyDescent="0.25">
      <c r="A155" t="str">
        <f>products_export!A155</f>
        <v>Spring Remembrance Basket</v>
      </c>
      <c r="B155" s="10" t="str">
        <f>products_export!E155</f>
        <v>One arrangement with pink gladioli and carnations, lavender stock, white Monte Cassino asters, purple and yellow and chrysanthemums is delivered in a funeral basket with handle.</v>
      </c>
      <c r="C155" s="16" t="str">
        <f>products_export!H155</f>
        <v>Funeral Baskets</v>
      </c>
      <c r="D155" s="15">
        <f>products_export!K155</f>
        <v>57.5</v>
      </c>
      <c r="E155" s="15">
        <f>products_export!L155</f>
        <v>82.5</v>
      </c>
      <c r="F155" s="10" t="str">
        <f>products_export!O155</f>
        <v>https://cdn.shopify.com/s/files/1/0790/8529/products/34873.jpeg?v=1425992871</v>
      </c>
      <c r="G155" s="18" t="str">
        <f>products_export!P155</f>
        <v>(display image: Spring Remembrance Basket)</v>
      </c>
      <c r="H155" t="str">
        <f>products_export!M152</f>
        <v>T212-3A</v>
      </c>
      <c r="I155">
        <f>products_export!N155</f>
        <v>104.95</v>
      </c>
      <c r="J155" s="7" t="str">
        <f>"img/flowers/"&amp;Data!H155&amp;".png"</f>
        <v>img/flowers/T212-3A.png</v>
      </c>
    </row>
    <row r="156" spans="1:10" x14ac:dyDescent="0.25">
      <c r="A156" t="str">
        <f>products_export!A156</f>
        <v>Standing Cross</v>
      </c>
      <c r="B156" s="10" t="str">
        <f>products_export!E156</f>
        <v>This standing easel cross features a white background with red roses.</v>
      </c>
      <c r="C156" s="16" t="str">
        <f>products_export!H156</f>
        <v>Standing Arrangements</v>
      </c>
      <c r="D156" s="15">
        <f>products_export!K156</f>
        <v>70</v>
      </c>
      <c r="E156" s="15">
        <f>products_export!L156</f>
        <v>87.5</v>
      </c>
      <c r="F156" s="10" t="str">
        <f>products_export!O156</f>
        <v>https://cdn.shopify.com/s/files/1/0790/8529/products/HFS-7005.jpeg?v=1425992655</v>
      </c>
      <c r="G156" s="18" t="str">
        <f>products_export!P156</f>
        <v>(display image: Standing Cross)</v>
      </c>
      <c r="H156" t="str">
        <f>products_export!M153</f>
        <v>TFWEB150</v>
      </c>
      <c r="I156">
        <f>products_export!N156</f>
        <v>355</v>
      </c>
      <c r="J156" s="7" t="str">
        <f>"img/flowers/"&amp;Data!H156&amp;".png"</f>
        <v>img/flowers/TFWEB150.png</v>
      </c>
    </row>
    <row r="157" spans="1:10" x14ac:dyDescent="0.25">
      <c r="A157" t="str">
        <f>products_export!A157</f>
        <v>Stargazer Lily and Gerbera Spray</v>
      </c>
      <c r="B157" s="10" t="str">
        <f>products_export!E157</f>
        <v>A spray of stargazer lilies, red gerberas and lavender stock, delivered on an easel.</v>
      </c>
      <c r="C157" s="16" t="str">
        <f>products_export!H157</f>
        <v>Standing Arrangements</v>
      </c>
      <c r="D157" s="15">
        <f>products_export!K157</f>
        <v>52.5</v>
      </c>
      <c r="E157" s="15">
        <f>products_export!L157</f>
        <v>102.5</v>
      </c>
      <c r="F157" s="10" t="str">
        <f>products_export!O157</f>
        <v>https://cdn.shopify.com/s/files/1/0790/8529/products/34892.jpeg?v=1425992880</v>
      </c>
      <c r="G157" s="18" t="str">
        <f>products_export!P157</f>
        <v>(display image: Stargazer Lily and Gerbera Spray)</v>
      </c>
      <c r="H157" t="str">
        <f>products_export!M154</f>
        <v>T93-1A</v>
      </c>
      <c r="I157">
        <f>products_export!N157</f>
        <v>139.94999999999999</v>
      </c>
      <c r="J157" s="7" t="str">
        <f>"img/flowers/"&amp;Data!H157&amp;".png"</f>
        <v>img/flowers/T93-1A.png</v>
      </c>
    </row>
    <row r="158" spans="1:10" x14ac:dyDescent="0.25">
      <c r="A158" t="str">
        <f>products_export!A158</f>
        <v>Stately Croton</v>
      </c>
      <c r="B158" s="10" t="str">
        <f>products_export!E158</f>
        <v>A potted croton plant, marked by colorful, stiff, waxy leaves that point upward, is delivered in a square planter.&lt;br&gt;&lt;br&gt;This plant should be kept out of the reach of children and pets.</v>
      </c>
      <c r="C158" s="16" t="str">
        <f>products_export!H158</f>
        <v>House Plants</v>
      </c>
      <c r="D158" s="15">
        <f>products_export!K158</f>
        <v>82.5</v>
      </c>
      <c r="E158" s="15">
        <f>products_export!L158</f>
        <v>85</v>
      </c>
      <c r="F158" s="10" t="str">
        <f>products_export!O158</f>
        <v>https://cdn.shopify.com/s/files/1/0790/8529/products/T106-2A.jpeg?v=1425992677</v>
      </c>
      <c r="G158" s="18" t="str">
        <f>products_export!P158</f>
        <v>(display image: Stately Croton)</v>
      </c>
      <c r="H158" t="str">
        <f>products_export!M155</f>
        <v>TF186-1</v>
      </c>
      <c r="I158">
        <f>products_export!N158</f>
        <v>72.95</v>
      </c>
      <c r="J158" s="7" t="str">
        <f>"img/flowers/"&amp;Data!H158&amp;".png"</f>
        <v>img/flowers/TF186-1.png</v>
      </c>
    </row>
    <row r="159" spans="1:10" x14ac:dyDescent="0.25">
      <c r="A159" t="str">
        <f>products_export!A159</f>
        <v>Stately Lilies</v>
      </c>
      <c r="B159" s="10" t="str">
        <f>products_export!E159</f>
        <v>Large white calla lilies pair with white roses and lush greens that include soft, airy sword fern and glossy aspidistra.</v>
      </c>
      <c r="C159" s="16" t="str">
        <f>products_export!H159</f>
        <v>Urn Arrangements</v>
      </c>
      <c r="D159" s="15">
        <f>products_export!K159</f>
        <v>102.5</v>
      </c>
      <c r="E159" s="15">
        <f>products_export!L159</f>
        <v>77.5</v>
      </c>
      <c r="F159" s="10" t="str">
        <f>products_export!O159</f>
        <v>https://cdn.shopify.com/s/files/1/0790/8529/products/T217-1A.jpeg?v=1425992697</v>
      </c>
      <c r="G159" s="18" t="str">
        <f>products_export!P159</f>
        <v>(display image: Stately Lilies)</v>
      </c>
      <c r="H159" t="str">
        <f>products_export!M156</f>
        <v>HFS-7005</v>
      </c>
      <c r="I159">
        <f>products_export!N159</f>
        <v>179.95</v>
      </c>
      <c r="J159" s="7" t="str">
        <f>"img/flowers/"&amp;Data!H159&amp;".png"</f>
        <v>img/flowers/HFS-7005.png</v>
      </c>
    </row>
    <row r="160" spans="1:10" x14ac:dyDescent="0.25">
      <c r="A160" t="str">
        <f>products_export!A160</f>
        <v>Strength &amp; Solace Spray</v>
      </c>
      <c r="B160" s="10" t="str">
        <f>products_export!E160</f>
        <v>A  magnificent spray composed of red gladioli, red carnations and white cushion spray chrysanthemums, accented with emerald palm and leatherleaf fern.</v>
      </c>
      <c r="C160" s="16" t="str">
        <f>products_export!H160</f>
        <v>Standing Arrangements</v>
      </c>
      <c r="D160" s="15">
        <f>products_export!K160</f>
        <v>67.5</v>
      </c>
      <c r="E160" s="15">
        <f>products_export!L160</f>
        <v>117.5</v>
      </c>
      <c r="F160" s="10" t="str">
        <f>products_export!O160</f>
        <v>https://cdn.shopify.com/s/files/1/0790/8529/products/T261-2A.jpeg?v=1425992809</v>
      </c>
      <c r="G160" s="18" t="str">
        <f>products_export!P160</f>
        <v>(display image: Strength &amp; Solace Spray)</v>
      </c>
      <c r="H160" t="str">
        <f>products_export!M157</f>
        <v>TF189-6</v>
      </c>
      <c r="I160">
        <f>products_export!N160</f>
        <v>154.99</v>
      </c>
      <c r="J160" s="7" t="str">
        <f>"img/flowers/"&amp;Data!H160&amp;".png"</f>
        <v>img/flowers/TF189-6.png</v>
      </c>
    </row>
    <row r="161" spans="1:10" x14ac:dyDescent="0.25">
      <c r="A161" t="str">
        <f>products_export!A161</f>
        <v>Strength and Wisdom Casket Spray</v>
      </c>
      <c r="B161" s="10" t="str">
        <f>products_export!E161</f>
        <v>Dazzling red roses and gerberas, brilliant white chrysanthemums and larkspur are arranged with gentle greens to create a strong yet soothing arrangement.</v>
      </c>
      <c r="C161" s="16" t="str">
        <f>products_export!H161</f>
        <v>Casket Sprays</v>
      </c>
      <c r="D161" s="15">
        <f>products_export!K161</f>
        <v>97.5</v>
      </c>
      <c r="E161" s="15">
        <f>products_export!L161</f>
        <v>52.5</v>
      </c>
      <c r="F161" s="10" t="str">
        <f>products_export!O161</f>
        <v>https://cdn.shopify.com/s/files/1/0790/8529/products/T242-3A.jpeg?v=1425992757</v>
      </c>
      <c r="G161" s="18" t="str">
        <f>products_export!P161</f>
        <v>(display image: Strength and Wisdom Casket Spray)</v>
      </c>
      <c r="H161" t="str">
        <f>products_export!M158</f>
        <v>T106-2A</v>
      </c>
      <c r="I161">
        <f>products_export!N161</f>
        <v>229.95</v>
      </c>
      <c r="J161" s="7" t="str">
        <f>"img/flowers/"&amp;Data!H161&amp;".png"</f>
        <v>img/flowers/T106-2A.png</v>
      </c>
    </row>
    <row r="162" spans="1:10" x14ac:dyDescent="0.25">
      <c r="A162" t="str">
        <f>products_export!A162</f>
        <v>Stylish Plant Assortment</v>
      </c>
      <c r="B162" s="10" t="str">
        <f>products_export!E162</f>
        <v>Mixed potted plants including kalanchoes, ivy, nephthytis and crotons are arranged in a vase.</v>
      </c>
      <c r="C162" s="16" t="str">
        <f>products_export!H162</f>
        <v>House Plants</v>
      </c>
      <c r="D162" s="15">
        <f>products_export!K162</f>
        <v>57.5</v>
      </c>
      <c r="E162" s="15">
        <f>products_export!L162</f>
        <v>45</v>
      </c>
      <c r="F162" s="10" t="str">
        <f>products_export!O162</f>
        <v>https://cdn.shopify.com/s/files/1/0790/8529/products/T106-3A.jpeg?v=1425992678</v>
      </c>
      <c r="G162" s="18" t="str">
        <f>products_export!P162</f>
        <v>(display image: Stylish Plant Assortment)</v>
      </c>
      <c r="H162" t="str">
        <f>products_export!M159</f>
        <v>T217-1A</v>
      </c>
      <c r="I162">
        <f>products_export!N162</f>
        <v>77.95</v>
      </c>
      <c r="J162" s="7" t="str">
        <f>"img/flowers/"&amp;Data!H162&amp;".png"</f>
        <v>img/flowers/T217-1A.png</v>
      </c>
    </row>
    <row r="163" spans="1:10" x14ac:dyDescent="0.25">
      <c r="A163" t="str">
        <f>products_export!A163</f>
        <v>Summer's Light Bouquet</v>
      </c>
      <c r="B163" s="10" t="str">
        <f>products_export!E163</f>
        <v>Peach roses, peach gerberas, orange alstroemeria, peach gladioli, yellow snapdragons and yellow stock, accented with assorted greenery and delivered in a glass trumpet vase.</v>
      </c>
      <c r="C163" s="16" t="str">
        <f>products_export!H163</f>
        <v>Floral Vases</v>
      </c>
      <c r="D163" s="15">
        <f>products_export!K163</f>
        <v>45</v>
      </c>
      <c r="E163" s="15">
        <f>products_export!L163</f>
        <v>72.5</v>
      </c>
      <c r="F163" s="10" t="str">
        <f>products_export!O163</f>
        <v>https://cdn.shopify.com/s/files/1/0790/8529/products/T266-2A.jpeg?v=1425992822</v>
      </c>
      <c r="G163" s="18" t="str">
        <f>products_export!P163</f>
        <v>(display image: Summer's Light Bouquet)</v>
      </c>
      <c r="H163" t="str">
        <f>products_export!M160</f>
        <v>T261-2A</v>
      </c>
      <c r="I163">
        <f>products_export!N163</f>
        <v>105</v>
      </c>
      <c r="J163" s="7" t="str">
        <f>"img/flowers/"&amp;Data!H163&amp;".png"</f>
        <v>img/flowers/T261-2A.png</v>
      </c>
    </row>
    <row r="164" spans="1:10" x14ac:dyDescent="0.25">
      <c r="A164" t="str">
        <f>products_export!A164</f>
        <v>Sunset Wreath</v>
      </c>
      <c r="B164" s="10" t="str">
        <f>products_export!E164</f>
        <v>Richly colored flowers such as orange roses, green hydrangea, brown cymbidium orchids and yellow chrysanthemums.</v>
      </c>
      <c r="C164" s="16" t="str">
        <f>products_export!H164</f>
        <v>Urn Arrangements</v>
      </c>
      <c r="D164" s="15">
        <f>products_export!K164</f>
        <v>67.5</v>
      </c>
      <c r="E164" s="15">
        <f>products_export!L164</f>
        <v>42.5</v>
      </c>
      <c r="F164" s="10" t="str">
        <f>products_export!O164</f>
        <v>https://cdn.shopify.com/s/files/1/0790/8529/products/T254-1A.jpeg?v=1425992789</v>
      </c>
      <c r="G164" s="18" t="str">
        <f>products_export!P164</f>
        <v>(display image: Sunset Wreath)</v>
      </c>
      <c r="H164" t="str">
        <f>products_export!M161</f>
        <v>T242-3A</v>
      </c>
      <c r="I164">
        <f>products_export!N164</f>
        <v>254.99</v>
      </c>
      <c r="J164" s="7" t="str">
        <f>"img/flowers/"&amp;Data!H164&amp;".png"</f>
        <v>img/flowers/T242-3A.png</v>
      </c>
    </row>
    <row r="165" spans="1:10" x14ac:dyDescent="0.25">
      <c r="A165" t="str">
        <f>products_export!A165</f>
        <v>Sweet Azalea Delight</v>
      </c>
      <c r="B165" s="10" t="str">
        <f>products_export!E165</f>
        <v>A flowering pink azalea houseplant, delightfully presented in a white ceramic planter.</v>
      </c>
      <c r="C165" s="16" t="str">
        <f>products_export!H165</f>
        <v>House Plants</v>
      </c>
      <c r="D165" s="15">
        <f>products_export!K165</f>
        <v>37.5</v>
      </c>
      <c r="E165" s="15">
        <f>products_export!L165</f>
        <v>30</v>
      </c>
      <c r="F165" s="10" t="str">
        <f>products_export!O165</f>
        <v>https://cdn.shopify.com/s/files/1/0790/8529/products/T96-1A.jpeg?v=1425992860</v>
      </c>
      <c r="G165" s="18" t="str">
        <f>products_export!P165</f>
        <v>(display image: Sweet Azalea Delight)</v>
      </c>
      <c r="H165" t="str">
        <f>products_export!M162</f>
        <v>T106-3A</v>
      </c>
      <c r="I165">
        <f>products_export!N165</f>
        <v>67.95</v>
      </c>
      <c r="J165" s="7" t="str">
        <f>"img/flowers/"&amp;Data!H165&amp;".png"</f>
        <v>img/flowers/T106-3A.png</v>
      </c>
    </row>
    <row r="166" spans="1:10" x14ac:dyDescent="0.25">
      <c r="A166" t="str">
        <f>products_export!A166</f>
        <v>Sweet Heart</v>
      </c>
      <c r="B166" s="10" t="str">
        <f>products_export!E166</f>
        <v>A solid heart filled with red roses.</v>
      </c>
      <c r="C166" s="16" t="str">
        <f>products_export!H166</f>
        <v>Standing Arrangements</v>
      </c>
      <c r="D166" s="15">
        <f>products_export!K166</f>
        <v>80</v>
      </c>
      <c r="E166" s="15">
        <f>products_export!L166</f>
        <v>80</v>
      </c>
      <c r="F166" s="10" t="str">
        <f>products_export!O166</f>
        <v>https://cdn.shopify.com/s/files/1/0790/8529/products/S-5004.jpeg?v=1425992661</v>
      </c>
      <c r="G166" s="18" t="str">
        <f>products_export!P166</f>
        <v>(display image: Sweet Heart)</v>
      </c>
      <c r="H166" t="str">
        <f>products_export!M163</f>
        <v>T266-2A</v>
      </c>
      <c r="I166">
        <f>products_export!N166</f>
        <v>600</v>
      </c>
      <c r="J166" s="7" t="str">
        <f>"img/flowers/"&amp;Data!H166&amp;".png"</f>
        <v>img/flowers/T266-2A.png</v>
      </c>
    </row>
    <row r="167" spans="1:10" x14ac:dyDescent="0.25">
      <c r="A167" t="str">
        <f>products_export!A167</f>
        <v>Sweet Remembrance Spray</v>
      </c>
      <c r="B167" s="10" t="str">
        <f>products_export!E167</f>
        <v>A fountain of  peach roses, orange bi-color roses, peach spray roses, peach asiatic lilies, orange alstroemeria, peach carnations and bells of Ireland, accented with assorted greenery.</v>
      </c>
      <c r="C167" s="16" t="str">
        <f>products_export!H167</f>
        <v>Standing Arrangements</v>
      </c>
      <c r="D167" s="15">
        <f>products_export!K167</f>
        <v>57.5</v>
      </c>
      <c r="E167" s="15">
        <f>products_export!L167</f>
        <v>115</v>
      </c>
      <c r="F167" s="10" t="str">
        <f>products_export!O167</f>
        <v>https://cdn.shopify.com/s/files/1/0790/8529/products/T266-1A.jpeg?v=1425992821</v>
      </c>
      <c r="G167" s="18" t="str">
        <f>products_export!P167</f>
        <v>(display image: Sweet Remembrance Spray)</v>
      </c>
      <c r="H167" t="str">
        <f>products_export!M164</f>
        <v>T254-1A</v>
      </c>
      <c r="I167">
        <f>products_export!N167</f>
        <v>229.99</v>
      </c>
      <c r="J167" s="7" t="str">
        <f>"img/flowers/"&amp;Data!H167&amp;".png"</f>
        <v>img/flowers/T254-1A.png</v>
      </c>
    </row>
    <row r="168" spans="1:10" x14ac:dyDescent="0.25">
      <c r="A168" t="str">
        <f>products_export!A168</f>
        <v>Sweet Sincerity</v>
      </c>
      <c r="B168" s="10" t="str">
        <f>products_export!E168</f>
        <v>Pink asiatic lilies, pink alstroemeria, hot pink carnations and pink miniature carnations accented with assorted greenery.</v>
      </c>
      <c r="C168" s="16" t="str">
        <f>products_export!H168</f>
        <v>Funeral Baskets</v>
      </c>
      <c r="D168" s="15">
        <f>products_export!K168</f>
        <v>50</v>
      </c>
      <c r="E168" s="15">
        <f>products_export!L168</f>
        <v>50</v>
      </c>
      <c r="F168" s="10" t="str">
        <f>products_export!O168</f>
        <v>https://cdn.shopify.com/s/files/1/0790/8529/products/T258-1A.jpeg?v=1425992797</v>
      </c>
      <c r="G168" s="18" t="str">
        <f>products_export!P168</f>
        <v>(display image: Sweet Sincerity)</v>
      </c>
      <c r="H168" t="str">
        <f>products_export!M165</f>
        <v>T96-1A</v>
      </c>
      <c r="I168">
        <f>products_export!N168</f>
        <v>84.99</v>
      </c>
      <c r="J168" s="7" t="str">
        <f>"img/flowers/"&amp;Data!H168&amp;".png"</f>
        <v>img/flowers/T96-1A.png</v>
      </c>
    </row>
    <row r="169" spans="1:10" x14ac:dyDescent="0.25">
      <c r="A169" t="str">
        <f>products_export!A169</f>
        <v>Sweet Solace Spray</v>
      </c>
      <c r="B169" s="10" t="str">
        <f>products_export!E169</f>
        <v>Stems of flowers such as pink lilies, gladioli and carnations with yellow snapdragons, and daisy spray mums, accented by variegated greens and eucalyptus.</v>
      </c>
      <c r="C169" s="16" t="str">
        <f>products_export!H169</f>
        <v>Standing Arrangements</v>
      </c>
      <c r="D169" s="15">
        <f>products_export!K169</f>
        <v>95</v>
      </c>
      <c r="E169" s="15">
        <f>products_export!L169</f>
        <v>107.5</v>
      </c>
      <c r="F169" s="10" t="str">
        <f>products_export!O169</f>
        <v>https://cdn.shopify.com/s/files/1/0790/8529/products/T249-1A.jpeg?v=1425992776</v>
      </c>
      <c r="G169" s="18" t="str">
        <f>products_export!P169</f>
        <v>(display image: Sweet Solace Spray)</v>
      </c>
      <c r="H169" t="str">
        <f>products_export!M166</f>
        <v>S-5004</v>
      </c>
      <c r="I169">
        <f>products_export!N169</f>
        <v>129.94999999999999</v>
      </c>
      <c r="J169" s="7" t="str">
        <f>"img/flowers/"&amp;Data!H169&amp;".png"</f>
        <v>img/flowers/S-5004.png</v>
      </c>
    </row>
    <row r="170" spans="1:10" x14ac:dyDescent="0.25">
      <c r="A170" t="str">
        <f>products_export!A170</f>
        <v>Sweet Symphony</v>
      </c>
      <c r="B170" s="10" t="str">
        <f>products_export!E170</f>
        <v>Pink Oriental lilies, tulips, larkspur and gerberas, lavender and red roses, white hydrangea, hot pink ranunculus, purple Monte Cassino asters and stock, plus salal, are arranged in a clear glass hurricane vase.</v>
      </c>
      <c r="C170" s="16" t="str">
        <f>products_export!H170</f>
        <v>Floral Vases</v>
      </c>
      <c r="D170" s="15">
        <f>products_export!K170</f>
        <v>60</v>
      </c>
      <c r="E170" s="15">
        <f>products_export!L170</f>
        <v>62.5</v>
      </c>
      <c r="F170" s="10" t="str">
        <f>products_export!O170</f>
        <v>https://cdn.shopify.com/s/files/1/0790/8529/products/159154.jpeg?v=1425992907</v>
      </c>
      <c r="G170" s="18" t="str">
        <f>products_export!P170</f>
        <v>(display image: Sweet Symphony)</v>
      </c>
      <c r="H170" t="str">
        <f>products_export!M167</f>
        <v>T266-1A</v>
      </c>
      <c r="I170">
        <f>products_export!N170</f>
        <v>204.95</v>
      </c>
      <c r="J170" s="7" t="str">
        <f>"img/flowers/"&amp;Data!H170&amp;".png"</f>
        <v>img/flowers/T266-1A.png</v>
      </c>
    </row>
    <row r="171" spans="1:10" x14ac:dyDescent="0.25">
      <c r="A171" t="str">
        <f>products_export!A171</f>
        <v>Sweet Tranquility Basket</v>
      </c>
      <c r="B171" s="10" t="str">
        <f>products_export!E171</f>
        <v>Oorange and yellow roses, pink matsumoto asters, white daisies, green button mums, white monte cassino asters, delicate solidago and fresh greens such as salal and variegated pittosporum.</v>
      </c>
      <c r="C171" s="16" t="str">
        <f>products_export!H171</f>
        <v>Floral Baskets</v>
      </c>
      <c r="D171" s="15">
        <f>products_export!K171</f>
        <v>40</v>
      </c>
      <c r="E171" s="15">
        <f>products_export!L171</f>
        <v>35</v>
      </c>
      <c r="F171" s="10" t="str">
        <f>products_export!O171</f>
        <v>https://cdn.shopify.com/s/files/1/0790/8529/products/T213-2A.jpeg?v=1425992693</v>
      </c>
      <c r="G171" s="18" t="str">
        <f>products_export!P171</f>
        <v>(display image: Sweet Tranquility Basket)</v>
      </c>
      <c r="H171" t="str">
        <f>products_export!M168</f>
        <v>T258-1A</v>
      </c>
      <c r="I171">
        <f>products_export!N171</f>
        <v>69.989999999999995</v>
      </c>
      <c r="J171" s="7" t="str">
        <f>"img/flowers/"&amp;Data!H171&amp;".png"</f>
        <v>img/flowers/T258-1A.png</v>
      </c>
    </row>
    <row r="172" spans="1:10" x14ac:dyDescent="0.25">
      <c r="A172" t="str">
        <f>products_export!A172</f>
        <v>Sympathy Standing Heart</v>
      </c>
      <c r="B172" s="10" t="str">
        <f>products_export!E172</f>
        <v>A heart in beautiful soft colors, featuring roses and hydrangeas.</v>
      </c>
      <c r="C172" s="16" t="str">
        <f>products_export!H172</f>
        <v>Standing Arrangements</v>
      </c>
      <c r="D172" s="15">
        <f>products_export!K172</f>
        <v>60</v>
      </c>
      <c r="E172" s="15">
        <f>products_export!L172</f>
        <v>60</v>
      </c>
      <c r="F172" s="10" t="str">
        <f>products_export!O172</f>
        <v>https://cdn.shopify.com/s/files/1/0790/8529/products/S-6003.jpeg?v=1425992664</v>
      </c>
      <c r="G172" s="18" t="str">
        <f>products_export!P172</f>
        <v>(display image: Sympathy Standing Heart)</v>
      </c>
      <c r="H172" t="str">
        <f>products_export!M169</f>
        <v>T249-1A</v>
      </c>
      <c r="I172">
        <f>products_export!N172</f>
        <v>305</v>
      </c>
      <c r="J172" s="7" t="str">
        <f>"img/flowers/"&amp;Data!H172&amp;".png"</f>
        <v>img/flowers/T249-1A.png</v>
      </c>
    </row>
    <row r="173" spans="1:10" x14ac:dyDescent="0.25">
      <c r="A173" t="str">
        <f>products_export!A173</f>
        <v>Teleflora's Bromeliad Beauty</v>
      </c>
      <c r="B173" s="10" t="str">
        <f>products_export!E173</f>
        <v>A red bromeliad plant is delivered in a brown bamboo cube.</v>
      </c>
      <c r="C173" s="16" t="str">
        <f>products_export!H173</f>
        <v>House Plants</v>
      </c>
      <c r="D173" s="15">
        <f>products_export!K173</f>
        <v>75</v>
      </c>
      <c r="E173" s="15">
        <f>products_export!L173</f>
        <v>65</v>
      </c>
      <c r="F173" s="10" t="str">
        <f>products_export!O173</f>
        <v>https://cdn.shopify.com/s/files/1/0790/8529/products/T100-1A.jpeg?v=1425992667</v>
      </c>
      <c r="G173" s="18" t="str">
        <f>products_export!P173</f>
        <v>(display image: Teleflora's Bromeliad Beauty)</v>
      </c>
      <c r="H173" t="str">
        <f>products_export!M170</f>
        <v>TFWEB140</v>
      </c>
      <c r="I173">
        <f>products_export!N173</f>
        <v>79.95</v>
      </c>
      <c r="J173" s="7" t="str">
        <f>"img/flowers/"&amp;Data!H173&amp;".png"</f>
        <v>img/flowers/TFWEB140.png</v>
      </c>
    </row>
    <row r="174" spans="1:10" x14ac:dyDescent="0.25">
      <c r="A174" t="str">
        <f>products_export!A174</f>
        <v>Teleflora's Crystal Cross Bouquet</v>
      </c>
      <c r="B174" s="10" t="str">
        <f>products_export!E174</f>
        <v>Yellow gladioli, lavender daisy spray chrysanthemums, pink carnations and solidago accented with assorted greenery are delivered with a 7 inch high, multifaceted Crystal Cross.</v>
      </c>
      <c r="C174" s="16" t="str">
        <f>products_export!H174</f>
        <v>Floral Vases</v>
      </c>
      <c r="D174" s="15">
        <f>products_export!K174</f>
        <v>40</v>
      </c>
      <c r="E174" s="15">
        <f>products_export!L174</f>
        <v>52.5</v>
      </c>
      <c r="F174" s="10" t="str">
        <f>products_export!O174</f>
        <v>https://cdn.shopify.com/s/files/1/0790/8529/products/T11E400A.jpeg?v=1425992683</v>
      </c>
      <c r="G174" s="18" t="str">
        <f>products_export!P174</f>
        <v>(display image: Teleflora's Crystal Cross Bouquet)</v>
      </c>
      <c r="H174" t="str">
        <f>products_export!M171</f>
        <v>T213-2A</v>
      </c>
      <c r="I174">
        <f>products_export!N174</f>
        <v>79.95</v>
      </c>
      <c r="J174" s="7" t="str">
        <f>"img/flowers/"&amp;Data!H174&amp;".png"</f>
        <v>img/flowers/T213-2A.png</v>
      </c>
    </row>
    <row r="175" spans="1:10" x14ac:dyDescent="0.25">
      <c r="A175" t="str">
        <f>products_export!A175</f>
        <v>Teleflora's Divine Peace Bouquet</v>
      </c>
      <c r="B175" s="10" t="str">
        <f>products_export!E175</f>
        <v>A fragrant mix of pure white blooms - including roses, alstroemeria, stock, carnations and waxflower - is accented with dusty miller and variegated pittosporum around an exclusive Crystal Cross keepsake.</v>
      </c>
      <c r="C175" s="16" t="str">
        <f>products_export!H175</f>
        <v>Floral Vases</v>
      </c>
      <c r="D175" s="15">
        <f>products_export!K175</f>
        <v>37.5</v>
      </c>
      <c r="E175" s="15">
        <f>products_export!L175</f>
        <v>35</v>
      </c>
      <c r="F175" s="10" t="str">
        <f>products_export!O175</f>
        <v>https://cdn.shopify.com/s/files/1/0790/8529/products/T229-2A.jpeg?v=1425992724</v>
      </c>
      <c r="G175" s="18" t="str">
        <f>products_export!P175</f>
        <v>(display image: Teleflora's Divine Peace Bouquet)</v>
      </c>
      <c r="H175" t="str">
        <f>products_export!M172</f>
        <v>S-6003</v>
      </c>
      <c r="I175">
        <f>products_export!N175</f>
        <v>79.95</v>
      </c>
      <c r="J175" s="7" t="str">
        <f>"img/flowers/"&amp;Data!H175&amp;".png"</f>
        <v>img/flowers/S-6003.png</v>
      </c>
    </row>
    <row r="176" spans="1:10" x14ac:dyDescent="0.25">
      <c r="A176" t="str">
        <f>products_export!A176</f>
        <v>Teleflora's Exotic Grace - Premium</v>
      </c>
      <c r="B176" s="10" t="str">
        <f>products_export!E176</f>
        <v>Asiatic lilies, alstroemeria and birds of paradise are accented with red hypericum, ti leaves, galax leaves, oregonia and bamboo-like equisetum. Delivered in a dark brown bamboo dish.</v>
      </c>
      <c r="C176" s="16" t="str">
        <f>products_export!H176</f>
        <v>Funeral Baskets</v>
      </c>
      <c r="D176" s="15">
        <f>products_export!K176</f>
        <v>50</v>
      </c>
      <c r="E176" s="15">
        <f>products_export!L176</f>
        <v>62.5</v>
      </c>
      <c r="F176" s="10" t="str">
        <f>products_export!O176</f>
        <v>https://cdn.shopify.com/s/files/1/0790/8529/products/T77-1C.jpeg?v=1425992852</v>
      </c>
      <c r="G176" s="18" t="str">
        <f>products_export!P176</f>
        <v>(display image: Teleflora's Exotic Grace - Premium)</v>
      </c>
      <c r="H176" t="str">
        <f>products_export!M173</f>
        <v>T100-1A</v>
      </c>
      <c r="I176">
        <f>products_export!N176</f>
        <v>99.99</v>
      </c>
      <c r="J176" s="7" t="str">
        <f>"img/flowers/"&amp;Data!H176&amp;".png"</f>
        <v>img/flowers/T100-1A.png</v>
      </c>
    </row>
    <row r="177" spans="1:10" x14ac:dyDescent="0.25">
      <c r="A177" t="str">
        <f>products_export!A177</f>
        <v>Teleflora's Garden of Memories</v>
      </c>
      <c r="B177" s="10" t="str">
        <f>products_export!E177</f>
        <v>Pink blooms such as hydrangea, roses and alstroemeria are mixed with white flowers including stock, asiatic lilies and white Cremon chrysanthemums, delivered in Teleflora's exclusive Garlands of Grace urn.</v>
      </c>
      <c r="C177" s="16" t="str">
        <f>products_export!H177</f>
        <v>Floral Vases</v>
      </c>
      <c r="D177" s="15">
        <f>products_export!K177</f>
        <v>47.5</v>
      </c>
      <c r="E177" s="15">
        <f>products_export!L177</f>
        <v>47.5</v>
      </c>
      <c r="F177" s="10" t="str">
        <f>products_export!O177</f>
        <v>https://cdn.shopify.com/s/files/1/0790/8529/products/T221-1A.jpeg?v=1425992706</v>
      </c>
      <c r="G177" s="18" t="str">
        <f>products_export!P177</f>
        <v>(display image: Teleflora's Garden of Memories)</v>
      </c>
      <c r="H177" t="str">
        <f>products_export!M174</f>
        <v>T11E400A</v>
      </c>
      <c r="I177">
        <f>products_export!N177</f>
        <v>144.99</v>
      </c>
      <c r="J177" s="7" t="str">
        <f>"img/flowers/"&amp;Data!H177&amp;".png"</f>
        <v>img/flowers/T11E400A.png</v>
      </c>
    </row>
    <row r="178" spans="1:10" x14ac:dyDescent="0.25">
      <c r="A178" t="str">
        <f>products_export!A178</f>
        <v>Teleflora's Garden of Serenity Bouquet</v>
      </c>
      <c r="B178" s="10" t="str">
        <f>products_export!E178</f>
        <v>_x000D_White funeral flowers such as roses, asiatic lilies, stock, snapdragons and freesia are accented with salal, myrtle and pitta negra around a porcelain Sacred Grace keepsake figure.</v>
      </c>
      <c r="C178" s="16" t="str">
        <f>products_export!H178</f>
        <v>Floral Vases</v>
      </c>
      <c r="D178" s="15">
        <f>products_export!K178</f>
        <v>40</v>
      </c>
      <c r="E178" s="15">
        <f>products_export!L178</f>
        <v>55</v>
      </c>
      <c r="F178" s="10" t="str">
        <f>products_export!O178</f>
        <v>https://cdn.shopify.com/s/files/1/0790/8529/products/T229-1A.jpeg?v=1425992722</v>
      </c>
      <c r="G178" s="18" t="str">
        <f>products_export!P178</f>
        <v>(display image: Teleflora's Garden of Serenity Bouquet)</v>
      </c>
      <c r="H178" t="str">
        <f>products_export!M175</f>
        <v>T229-2A</v>
      </c>
      <c r="I178">
        <f>products_export!N178</f>
        <v>99.99</v>
      </c>
      <c r="J178" s="7" t="str">
        <f>"img/flowers/"&amp;Data!H178&amp;".png"</f>
        <v>img/flowers/T229-2A.png</v>
      </c>
    </row>
    <row r="179" spans="1:10" x14ac:dyDescent="0.25">
      <c r="A179" t="str">
        <f>products_export!A179</f>
        <v>Teleflora's Gift of Grace Bouquet</v>
      </c>
      <c r="B179" s="10" t="str">
        <f>products_export!E179</f>
        <v>White roses, white spray roses, white asiatic lilies, white stock and queen anne's lace, accented with assorted greenery and delivered in a silver scalloped design bowl.</v>
      </c>
      <c r="C179" s="16" t="str">
        <f>products_export!H179</f>
        <v>Floral Vases</v>
      </c>
      <c r="D179" s="15">
        <f>products_export!K179</f>
        <v>42.5</v>
      </c>
      <c r="E179" s="15">
        <f>products_export!L179</f>
        <v>37.5</v>
      </c>
      <c r="F179" s="10" t="str">
        <f>products_export!O179</f>
        <v>https://cdn.shopify.com/s/files/1/0790/8529/products/T264-1A.jpeg?v=1425992816</v>
      </c>
      <c r="G179" s="18" t="str">
        <f>products_export!P179</f>
        <v>(display image: Teleflora's Gift of Grace Bouquet)</v>
      </c>
      <c r="H179" t="str">
        <f>products_export!M176</f>
        <v>T77-1C</v>
      </c>
      <c r="I179">
        <f>products_export!N179</f>
        <v>129.99</v>
      </c>
      <c r="J179" s="7" t="str">
        <f>"img/flowers/"&amp;Data!H179&amp;".png"</f>
        <v>img/flowers/T77-1C.png</v>
      </c>
    </row>
    <row r="180" spans="1:10" x14ac:dyDescent="0.25">
      <c r="A180" t="str">
        <f>products_export!A180</f>
        <v>Teleflora's Heartfelt Memories</v>
      </c>
      <c r="B180" s="10" t="str">
        <f>products_export!E180</f>
        <v>Funeral flowers such as purple cushion spray mums, purple carnations, lavender gladioli and lavender Cremon mums are accented with leatherleaf fern in an exclusive Garlands of Grace urn.</v>
      </c>
      <c r="C180" s="16" t="str">
        <f>products_export!H180</f>
        <v>Floral Vases</v>
      </c>
      <c r="D180" s="15">
        <f>products_export!K180</f>
        <v>45</v>
      </c>
      <c r="E180" s="15">
        <f>products_export!L180</f>
        <v>70</v>
      </c>
      <c r="F180" s="10" t="str">
        <f>products_export!O180</f>
        <v>https://cdn.shopify.com/s/files/1/0790/8529/products/T221-3A.jpeg?v=1425992708</v>
      </c>
      <c r="G180" s="18" t="str">
        <f>products_export!P180</f>
        <v>(display image: Teleflora's Heartfelt Memories)</v>
      </c>
      <c r="H180" t="str">
        <f>products_export!M177</f>
        <v>T221-1A</v>
      </c>
      <c r="I180">
        <f>products_export!N180</f>
        <v>99.99</v>
      </c>
      <c r="J180" s="7" t="str">
        <f>"img/flowers/"&amp;Data!H180&amp;".png"</f>
        <v>img/flowers/T221-1A.png</v>
      </c>
    </row>
    <row r="181" spans="1:10" x14ac:dyDescent="0.25">
      <c r="A181" t="str">
        <f>products_export!A181</f>
        <v>Teleflora's Imperial Purple Orchid</v>
      </c>
      <c r="B181" s="10" t="str">
        <f>products_export!E181</f>
        <v>A lavender phalaenopsis orchid plant arrives in an exclusive bamboo cube. It's almost too good to be true.</v>
      </c>
      <c r="C181" s="16" t="str">
        <f>products_export!H181</f>
        <v>House Plants</v>
      </c>
      <c r="D181" s="15">
        <f>products_export!K181</f>
        <v>32.5</v>
      </c>
      <c r="E181" s="15">
        <f>products_export!L181</f>
        <v>57.5</v>
      </c>
      <c r="F181" s="10" t="str">
        <f>products_export!O181</f>
        <v>https://cdn.shopify.com/s/files/1/0790/8529/products/T98-1A.jpeg?v=1425992863</v>
      </c>
      <c r="G181" s="18" t="str">
        <f>products_export!P181</f>
        <v>(display image: Teleflora's Imperial Purple Orchid)</v>
      </c>
      <c r="H181" t="str">
        <f>products_export!M178</f>
        <v>T229-1A</v>
      </c>
      <c r="I181">
        <f>products_export!N181</f>
        <v>79.95</v>
      </c>
      <c r="J181" s="7" t="str">
        <f>"img/flowers/"&amp;Data!H181&amp;".png"</f>
        <v>img/flowers/T229-1A.png</v>
      </c>
    </row>
    <row r="182" spans="1:10" x14ac:dyDescent="0.25">
      <c r="A182" t="str">
        <f>products_export!A182</f>
        <v>Teleflora's Inspiration Bouquet</v>
      </c>
      <c r="B182" s="10" t="str">
        <f>products_export!E182</f>
        <v>Six large white calla lilies in glass vase inside a silver-toned sleeve adorned with a cut-out cross.</v>
      </c>
      <c r="C182" s="16" t="str">
        <f>products_export!H182</f>
        <v>Floral Vases</v>
      </c>
      <c r="D182" s="15">
        <f>products_export!K182</f>
        <v>55</v>
      </c>
      <c r="E182" s="15">
        <f>products_export!L182</f>
        <v>62.5</v>
      </c>
      <c r="F182" s="10" t="str">
        <f>products_export!O182</f>
        <v>https://cdn.shopify.com/s/files/1/0790/8529/products/T264-2A.jpeg?v=1425992818</v>
      </c>
      <c r="G182" s="18" t="str">
        <f>products_export!P182</f>
        <v>(display image: Teleflora's Inspiration Bouquet)</v>
      </c>
      <c r="H182" t="str">
        <f>products_export!M179</f>
        <v>T264-1A</v>
      </c>
      <c r="I182">
        <f>products_export!N182</f>
        <v>179.99</v>
      </c>
      <c r="J182" s="7" t="str">
        <f>"img/flowers/"&amp;Data!H182&amp;".png"</f>
        <v>img/flowers/T264-1A.png</v>
      </c>
    </row>
    <row r="183" spans="1:10" x14ac:dyDescent="0.25">
      <c r="A183" t="str">
        <f>products_export!A183</f>
        <v>Teleflora's Loving Grace</v>
      </c>
      <c r="B183" s="10" t="str">
        <f>products_export!E183</f>
        <v>Flowers such as peach roses, light pink spray roses, pink asiatic lilies, pink gerberas, pink alstroemeria, pink lisianthus, lavender and purple larkspur, purple limonium and greens including myrtle and salal.</v>
      </c>
      <c r="C183" s="16" t="str">
        <f>products_export!H183</f>
        <v>Funeral Baskets</v>
      </c>
      <c r="D183" s="15">
        <f>products_export!K183</f>
        <v>65</v>
      </c>
      <c r="E183" s="15">
        <f>products_export!L183</f>
        <v>75</v>
      </c>
      <c r="F183" s="10" t="str">
        <f>products_export!O183</f>
        <v>https://cdn.shopify.com/s/files/1/0790/8529/products/T220-1A.jpeg?v=1425992704</v>
      </c>
      <c r="G183" s="18" t="str">
        <f>products_export!P183</f>
        <v>(display image: Teleflora's Loving Grace)</v>
      </c>
      <c r="H183" t="str">
        <f>products_export!M180</f>
        <v>T221-3A</v>
      </c>
      <c r="I183">
        <f>products_export!N183</f>
        <v>194.99</v>
      </c>
      <c r="J183" s="7" t="str">
        <f>"img/flowers/"&amp;Data!H183&amp;".png"</f>
        <v>img/flowers/T221-3A.png</v>
      </c>
    </row>
    <row r="184" spans="1:10" x14ac:dyDescent="0.25">
      <c r="A184" t="str">
        <f>products_export!A184</f>
        <v>Teleflora's Opulent Orchids</v>
      </c>
      <c r="B184" s="10" t="str">
        <f>products_export!E184</f>
        <v>A white phalaenopsis orchid plant arrives in an exclusive bamboo cube. Now that's the kind of opulence anyone can appreciate.</v>
      </c>
      <c r="C184" s="16" t="str">
        <f>products_export!H184</f>
        <v>House Plants</v>
      </c>
      <c r="D184" s="15">
        <f>products_export!K184</f>
        <v>30</v>
      </c>
      <c r="E184" s="15">
        <f>products_export!L184</f>
        <v>65</v>
      </c>
      <c r="F184" s="10" t="str">
        <f>products_export!O184</f>
        <v>https://cdn.shopify.com/s/files/1/0790/8529/products/T98-2A.jpeg?v=1425992864</v>
      </c>
      <c r="G184" s="18" t="str">
        <f>products_export!P184</f>
        <v>(display image: Teleflora's Opulent Orchids)</v>
      </c>
      <c r="H184" t="str">
        <f>products_export!M181</f>
        <v>T98-1A</v>
      </c>
      <c r="I184">
        <f>products_export!N184</f>
        <v>119.95</v>
      </c>
      <c r="J184" s="7" t="str">
        <f>"img/flowers/"&amp;Data!H184&amp;".png"</f>
        <v>img/flowers/T98-1A.png</v>
      </c>
    </row>
    <row r="185" spans="1:10" x14ac:dyDescent="0.25">
      <c r="A185" t="str">
        <f>products_export!A185</f>
        <v>Teleflora's Park Avenue Centerpiece</v>
      </c>
      <c r="B185" s="10" t="str">
        <f>products_export!E185</f>
        <v>A beautiful Mercury Glass Bowl presents a soft mix of creme roses, white hydrangea and white lisianthus accented with seeded eucalyptus.</v>
      </c>
      <c r="C185" s="16" t="str">
        <f>products_export!H185</f>
        <v>Floral Vases</v>
      </c>
      <c r="D185" s="15">
        <f>products_export!K185</f>
        <v>35</v>
      </c>
      <c r="E185" s="15">
        <f>products_export!L185</f>
        <v>27.5</v>
      </c>
      <c r="F185" s="10" t="str">
        <f>products_export!O185</f>
        <v>https://cdn.shopify.com/s/files/1/0790/8529/products/T188-1A.jpeg?v=1425992685</v>
      </c>
      <c r="G185" s="18" t="str">
        <f>products_export!P185</f>
        <v>(display image: Teleflora's Park Avenue Centerpiece)</v>
      </c>
      <c r="H185" t="str">
        <f>products_export!M182</f>
        <v>T264-2A</v>
      </c>
      <c r="I185">
        <f>products_export!N185</f>
        <v>119.95</v>
      </c>
      <c r="J185" s="7" t="str">
        <f>"img/flowers/"&amp;Data!H185&amp;".png"</f>
        <v>img/flowers/T264-2A.png</v>
      </c>
    </row>
    <row r="186" spans="1:10" x14ac:dyDescent="0.25">
      <c r="A186" t="str">
        <f>products_export!A186</f>
        <v>Teleflora's Rhapsody in Purple</v>
      </c>
      <c r="B186" s="10" t="str">
        <f>products_export!E186</f>
        <v>Purple hydrangea, lavender roses, hot pink spray roses and white freesia.</v>
      </c>
      <c r="C186" s="16" t="str">
        <f>products_export!H186</f>
        <v>Floral Vases</v>
      </c>
      <c r="D186" s="15">
        <f>products_export!K186</f>
        <v>32.5</v>
      </c>
      <c r="E186" s="15">
        <f>products_export!L186</f>
        <v>35</v>
      </c>
      <c r="F186" s="10" t="str">
        <f>products_export!O186</f>
        <v>https://cdn.shopify.com/s/files/1/0790/8529/products/T51-1B.jpeg?v=1425992849</v>
      </c>
      <c r="G186" s="18" t="str">
        <f>products_export!P186</f>
        <v>(display image: Teleflora's Rhapsody in Purple)</v>
      </c>
      <c r="H186" t="str">
        <f>products_export!M183</f>
        <v>T220-1A</v>
      </c>
      <c r="I186">
        <f>products_export!N186</f>
        <v>104.95</v>
      </c>
      <c r="J186" s="7" t="str">
        <f>"img/flowers/"&amp;Data!H186&amp;".png"</f>
        <v>img/flowers/T220-1A.png</v>
      </c>
    </row>
    <row r="187" spans="1:10" x14ac:dyDescent="0.25">
      <c r="A187" t="str">
        <f>products_export!A187</f>
        <v>Teleflora's Rose Remembrance</v>
      </c>
      <c r="B187" s="10" t="str">
        <f>products_export!E187</f>
        <v>Flowers such as peach roses and carnations accented with seeded eucalyptus, oregonia and salal in an exclusive Grecian Garden urn.</v>
      </c>
      <c r="C187" s="16" t="str">
        <f>products_export!H187</f>
        <v>Funeral Baskets</v>
      </c>
      <c r="D187" s="15">
        <f>products_export!K187</f>
        <v>57.5</v>
      </c>
      <c r="E187" s="15">
        <f>products_export!L187</f>
        <v>57.5</v>
      </c>
      <c r="F187" s="10" t="str">
        <f>products_export!O187</f>
        <v>https://cdn.shopify.com/s/files/1/0790/8529/products/T221-2A.jpeg?v=1425992707</v>
      </c>
      <c r="G187" s="18" t="str">
        <f>products_export!P187</f>
        <v>(display image: Teleflora's Rose Remembrance)</v>
      </c>
      <c r="H187" t="str">
        <f>products_export!M184</f>
        <v>T98-2A</v>
      </c>
      <c r="I187">
        <f>products_export!N187</f>
        <v>124.99</v>
      </c>
      <c r="J187" s="7" t="str">
        <f>"img/flowers/"&amp;Data!H187&amp;".png"</f>
        <v>img/flowers/T98-2A.png</v>
      </c>
    </row>
    <row r="188" spans="1:10" x14ac:dyDescent="0.25">
      <c r="A188" t="str">
        <f>products_export!A188</f>
        <v>Teleflora's Rose Romanesque Bouquet</v>
      </c>
      <c r="B188" s="10" t="str">
        <f>products_export!E188</f>
        <v>_x000D_Deep red roses nestled with ivy, ming fern and Israeli ruscus, presented in a clear glass Jewel vase.</v>
      </c>
      <c r="C188" s="16" t="str">
        <f>products_export!H188</f>
        <v>Floral Vases</v>
      </c>
      <c r="D188" s="15">
        <f>products_export!K188</f>
        <v>50</v>
      </c>
      <c r="E188" s="15">
        <f>products_export!L188</f>
        <v>50</v>
      </c>
      <c r="F188" s="10" t="str">
        <f>products_export!O188</f>
        <v>https://cdn.shopify.com/s/files/1/0790/8529/products/T231-1A.jpeg?v=1425992730</v>
      </c>
      <c r="G188" s="18" t="str">
        <f>products_export!P188</f>
        <v>(display image: Teleflora's Rose Romanesque Bouquet)</v>
      </c>
      <c r="H188" t="str">
        <f>products_export!M185</f>
        <v>T188-1A</v>
      </c>
      <c r="I188">
        <f>products_export!N188</f>
        <v>115</v>
      </c>
      <c r="J188" s="7" t="str">
        <f>"img/flowers/"&amp;Data!H188&amp;".png"</f>
        <v>img/flowers/T188-1A.png</v>
      </c>
    </row>
    <row r="189" spans="1:10" x14ac:dyDescent="0.25">
      <c r="A189" t="str">
        <f>products_export!A189</f>
        <v>Teleflora's Rose Tribute</v>
      </c>
      <c r="B189" s="10" t="str">
        <f>products_export!E189</f>
        <v>Two dozen red roses in an exclusive Noble Heritage urn.</v>
      </c>
      <c r="C189" s="16" t="str">
        <f>products_export!H189</f>
        <v>Funeral Baskets</v>
      </c>
      <c r="D189" s="15">
        <f>products_export!K189</f>
        <v>67.5</v>
      </c>
      <c r="E189" s="15">
        <f>products_export!L189</f>
        <v>65</v>
      </c>
      <c r="F189" s="10" t="str">
        <f>products_export!O189</f>
        <v>https://cdn.shopify.com/s/files/1/0790/8529/products/T224-1A.jpeg?v=1425992712</v>
      </c>
      <c r="G189" s="18" t="str">
        <f>products_export!P189</f>
        <v>(display image: Teleflora's Rose Tribute)</v>
      </c>
      <c r="H189" t="str">
        <f>products_export!M186</f>
        <v>T51-1A</v>
      </c>
      <c r="I189">
        <f>products_export!N189</f>
        <v>139.94999999999999</v>
      </c>
      <c r="J189" s="7" t="str">
        <f>"img/flowers/"&amp;Data!H189&amp;".png"</f>
        <v>img/flowers/T51-1A.png</v>
      </c>
    </row>
    <row r="190" spans="1:10" x14ac:dyDescent="0.25">
      <c r="A190" t="str">
        <f>products_export!A190</f>
        <v>Teleflora's Sacred Cross Bouquet</v>
      </c>
      <c r="B190" s="10" t="str">
        <f>products_export!E190</f>
        <v>Five stems of white asiatic lilies, accented with assorted greenery.</v>
      </c>
      <c r="C190" s="16" t="str">
        <f>products_export!H190</f>
        <v>Floral Vases</v>
      </c>
      <c r="D190" s="15">
        <f>products_export!K190</f>
        <v>45</v>
      </c>
      <c r="E190" s="15">
        <f>products_export!L190</f>
        <v>52.5</v>
      </c>
      <c r="F190" s="10" t="str">
        <f>products_export!O190</f>
        <v>https://cdn.shopify.com/s/files/1/0790/8529/products/T263-2A.jpeg?v=1425992814</v>
      </c>
      <c r="G190" s="18" t="str">
        <f>products_export!P190</f>
        <v>(display image: Teleflora's Sacred Cross Bouquet)</v>
      </c>
      <c r="H190" t="str">
        <f>products_export!M187</f>
        <v>T221-2A</v>
      </c>
      <c r="I190">
        <f>products_export!N190</f>
        <v>89.99</v>
      </c>
      <c r="J190" s="7" t="str">
        <f>"img/flowers/"&amp;Data!H190&amp;".png"</f>
        <v>img/flowers/T221-2A.png</v>
      </c>
    </row>
    <row r="191" spans="1:10" x14ac:dyDescent="0.25">
      <c r="A191" t="str">
        <f>products_export!A191</f>
        <v>Teleflora's Sentimental Dreams</v>
      </c>
      <c r="B191" s="10" t="str">
        <f>products_export!E191</f>
        <v>_x000D_Bright flowers such as orange roses, gerberas and gladioli, along with myrtle and magnolia leaves are arranged in an exclusive Noble Heritage urn.</v>
      </c>
      <c r="C191" s="16" t="str">
        <f>products_export!H191</f>
        <v>Funeral Baskets</v>
      </c>
      <c r="D191" s="15">
        <f>products_export!K191</f>
        <v>50</v>
      </c>
      <c r="E191" s="15">
        <f>products_export!L191</f>
        <v>95</v>
      </c>
      <c r="F191" s="10" t="str">
        <f>products_export!O191</f>
        <v>https://cdn.shopify.com/s/files/1/0790/8529/products/T244-1A.jpeg?v=1425992761</v>
      </c>
      <c r="G191" s="18" t="str">
        <f>products_export!P191</f>
        <v>(display image: Teleflora's Sentimental Dreams)_x000D_Teleflora's Sentimental Dreams)</v>
      </c>
      <c r="H191" t="str">
        <f>products_export!M188</f>
        <v>T231-1A</v>
      </c>
      <c r="I191">
        <f>products_export!N191</f>
        <v>129.99</v>
      </c>
      <c r="J191" s="7" t="str">
        <f>"img/flowers/"&amp;Data!H191&amp;".png"</f>
        <v>img/flowers/T231-1A.png</v>
      </c>
    </row>
    <row r="192" spans="1:10" x14ac:dyDescent="0.25">
      <c r="A192" t="str">
        <f>products_export!A192</f>
        <v>Teleflora's Sincere Serenity</v>
      </c>
      <c r="B192" s="10" t="str">
        <f>products_export!E192</f>
        <v>A mix of fresh white flowers such as Asiatic lilies, roses and carnations - accented with eucalyptus - is delivered in a Teleflora Noble Heritage urn.</v>
      </c>
      <c r="C192" s="16" t="str">
        <f>products_export!H192</f>
        <v>Funeral Baskets</v>
      </c>
      <c r="D192" s="15">
        <f>products_export!K192</f>
        <v>60</v>
      </c>
      <c r="E192" s="15">
        <f>products_export!L192</f>
        <v>65</v>
      </c>
      <c r="F192" s="10" t="str">
        <f>products_export!O192</f>
        <v>https://cdn.shopify.com/s/files/1/0790/8529/products/260108.png?v=1428888623</v>
      </c>
      <c r="G192" s="18" t="str">
        <f>products_export!P192</f>
        <v>(display image: Teleflora's Sincere Serenity)</v>
      </c>
      <c r="H192" t="str">
        <f>products_export!M189</f>
        <v>T224-1A</v>
      </c>
      <c r="I192">
        <f>products_export!N192</f>
        <v>127.95</v>
      </c>
      <c r="J192" s="7" t="str">
        <f>"img/flowers/"&amp;Data!H192&amp;".png"</f>
        <v>img/flowers/T224-1A.png</v>
      </c>
    </row>
    <row r="193" spans="1:10" x14ac:dyDescent="0.25">
      <c r="A193" t="str">
        <f>products_export!A193</f>
        <v>Teleflora's Sunny Memories</v>
      </c>
      <c r="B193" s="10" t="str">
        <f>products_export!E193</f>
        <v>_x000D_Bright yellow blooms such as roses, gladioli, button mums, daisies and solidago, accented by leatherleaf fern.</v>
      </c>
      <c r="C193" s="16" t="str">
        <f>products_export!H193</f>
        <v>Funeral Baskets</v>
      </c>
      <c r="D193" s="15">
        <f>products_export!K193</f>
        <v>65</v>
      </c>
      <c r="E193" s="15">
        <f>products_export!L193</f>
        <v>92.5</v>
      </c>
      <c r="F193" s="10" t="str">
        <f>products_export!O193</f>
        <v>https://cdn.shopify.com/s/files/1/0790/8529/products/T219-1A.jpeg?v=1425992703</v>
      </c>
      <c r="G193" s="18" t="str">
        <f>products_export!P193</f>
        <v>(display image: Teleflora's Sunny Memories)</v>
      </c>
      <c r="H193" t="str">
        <f>products_export!M190</f>
        <v>T263-2A</v>
      </c>
      <c r="I193">
        <f>products_export!N193</f>
        <v>154.99</v>
      </c>
      <c r="J193" s="7" t="str">
        <f>"img/flowers/"&amp;Data!H193&amp;".png"</f>
        <v>img/flowers/T263-2A.png</v>
      </c>
    </row>
    <row r="194" spans="1:10" x14ac:dyDescent="0.25">
      <c r="A194" t="str">
        <f>products_export!A194</f>
        <v>Teleflora's Sweet Tenderness</v>
      </c>
      <c r="B194" s="10" t="str">
        <f>products_export!E194</f>
        <v>Pink alstroemeria, pink carnations, hot pink miniature carnations, white daisy spray chrysanthemums and white waxflower, accented with assorted greenery.</v>
      </c>
      <c r="C194" s="16" t="str">
        <f>products_export!H194</f>
        <v>Floral Vases</v>
      </c>
      <c r="D194" s="15">
        <f>products_export!K194</f>
        <v>40</v>
      </c>
      <c r="E194" s="15">
        <f>products_export!L194</f>
        <v>45</v>
      </c>
      <c r="F194" s="10" t="str">
        <f>products_export!O194</f>
        <v>https://cdn.shopify.com/s/files/1/0790/8529/products/T259-1A.jpeg?v=1425992798</v>
      </c>
      <c r="G194" s="18" t="str">
        <f>products_export!P194</f>
        <v>(display image: Teleflora's Sweet Tenderness)</v>
      </c>
      <c r="H194" t="str">
        <f>products_export!M191</f>
        <v>T244-1A</v>
      </c>
      <c r="I194">
        <f>products_export!N194</f>
        <v>64.989999999999995</v>
      </c>
      <c r="J194" s="7" t="str">
        <f>"img/flowers/"&amp;Data!H194&amp;".png"</f>
        <v>img/flowers/T244-1A.png</v>
      </c>
    </row>
    <row r="195" spans="1:10" x14ac:dyDescent="0.25">
      <c r="A195" t="str">
        <f>products_export!A195</f>
        <v>Teleflora's Tender Tribute</v>
      </c>
      <c r="B195" s="10" t="str">
        <f>products_export!E195</f>
        <v>This red and white sympathy arrangement includes white asiatic lilies, red gladioli, red carnations, myrtle, sword fern and salal.</v>
      </c>
      <c r="C195" s="16" t="str">
        <f>products_export!H195</f>
        <v>Funeral Baskets</v>
      </c>
      <c r="D195" s="15">
        <f>products_export!K195</f>
        <v>60</v>
      </c>
      <c r="E195" s="15">
        <f>products_export!L195</f>
        <v>85</v>
      </c>
      <c r="F195" s="10" t="str">
        <f>products_export!O195</f>
        <v>https://cdn.shopify.com/s/files/1/0790/8529/products/T227-1A.jpeg?v=1425992720</v>
      </c>
      <c r="G195" s="18" t="str">
        <f>products_export!P195</f>
        <v>(display image: Teleflora's Tender Tribute)</v>
      </c>
      <c r="H195" t="str">
        <f>products_export!M192</f>
        <v>TFWEB532DX</v>
      </c>
      <c r="I195">
        <f>products_export!N195</f>
        <v>107.95</v>
      </c>
      <c r="J195" s="7" t="str">
        <f>"img/flowers/"&amp;Data!H195&amp;".png"</f>
        <v>img/flowers/TFWEB532DX.png</v>
      </c>
    </row>
    <row r="196" spans="1:10" x14ac:dyDescent="0.25">
      <c r="A196" t="str">
        <f>products_export!A196</f>
        <v>The Endless Sky Spray</v>
      </c>
      <c r="B196" s="10" t="str">
        <f>products_export!E196</f>
        <v>A lovely mix of flowers such as lavender roses, chrysanthemums, statice and asters are beautifully complemented by glossy green aspidistra leaves, fern and fragrant eucalyptus.</v>
      </c>
      <c r="C196" s="16" t="str">
        <f>products_export!H196</f>
        <v>Standing Arrangements</v>
      </c>
      <c r="D196" s="15">
        <f>products_export!K196</f>
        <v>62.5</v>
      </c>
      <c r="E196" s="15">
        <f>products_export!L196</f>
        <v>135</v>
      </c>
      <c r="F196" s="10" t="str">
        <f>products_export!O196</f>
        <v>https://cdn.shopify.com/s/files/1/0790/8529/products/T250-2A.jpeg?v=1425992782</v>
      </c>
      <c r="G196" s="18" t="str">
        <f>products_export!P196</f>
        <v>(display image: The Endless Sky Spray)</v>
      </c>
      <c r="H196" t="str">
        <f>products_export!M193</f>
        <v>T219-1A</v>
      </c>
      <c r="I196">
        <f>products_export!N196</f>
        <v>229.95</v>
      </c>
      <c r="J196" s="7" t="str">
        <f>"img/flowers/"&amp;Data!H196&amp;".png"</f>
        <v>img/flowers/T219-1A.png</v>
      </c>
    </row>
    <row r="197" spans="1:10" x14ac:dyDescent="0.25">
      <c r="A197" t="str">
        <f>products_export!A197</f>
        <v>Touching Tribute Spray</v>
      </c>
      <c r="B197" s="10" t="str">
        <f>products_export!E197</f>
        <v>Vivid hues of pink, lavender and purple. _x000D_Beautiful fresh flowers such as pink roses, oriental lilies and gladioli blend with purple stock, lavender carnations and fragrant greens.</v>
      </c>
      <c r="C197" s="16" t="str">
        <f>products_export!H197</f>
        <v>Standing Arrangements</v>
      </c>
      <c r="D197" s="15">
        <f>products_export!K197</f>
        <v>55</v>
      </c>
      <c r="E197" s="15">
        <f>products_export!L197</f>
        <v>140</v>
      </c>
      <c r="F197" s="10" t="str">
        <f>products_export!O197</f>
        <v>https://cdn.shopify.com/s/files/1/0790/8529/products/T234-1A.jpeg?v=1425992735</v>
      </c>
      <c r="G197" s="18" t="str">
        <f>products_export!P197</f>
        <v>(display image: Touching Tribute Spray)</v>
      </c>
      <c r="H197" t="str">
        <f>products_export!M194</f>
        <v>T259-1A</v>
      </c>
      <c r="I197">
        <f>products_export!N197</f>
        <v>260.5</v>
      </c>
      <c r="J197" s="7" t="str">
        <f>"img/flowers/"&amp;Data!H197&amp;".png"</f>
        <v>img/flowers/T259-1A.png</v>
      </c>
    </row>
    <row r="198" spans="1:10" x14ac:dyDescent="0.25">
      <c r="A198" t="str">
        <f>products_export!A198</f>
        <v>Towering Ficus</v>
      </c>
      <c r="B198" s="10" t="str">
        <f>products_export!E198</f>
        <v>A potted ficus plant with slender, winding stems and a thick bush of leaves on top is potted in a terra-cotta pot.</v>
      </c>
      <c r="C198" s="16" t="str">
        <f>products_export!H198</f>
        <v>House Plants</v>
      </c>
      <c r="D198" s="15">
        <f>products_export!K198</f>
        <v>92.5</v>
      </c>
      <c r="E198" s="15">
        <f>products_export!L198</f>
        <v>150</v>
      </c>
      <c r="F198" s="10" t="str">
        <f>products_export!O198</f>
        <v>https://cdn.shopify.com/s/files/1/0790/8529/products/T104-1A.jpeg?v=1425992669</v>
      </c>
      <c r="G198" s="18" t="str">
        <f>products_export!P198</f>
        <v>(display image: Towering Ficus)</v>
      </c>
      <c r="H198" t="str">
        <f>products_export!M195</f>
        <v>T227-1A</v>
      </c>
      <c r="I198">
        <f>products_export!N198</f>
        <v>104.95</v>
      </c>
      <c r="J198" s="7" t="str">
        <f>"img/flowers/"&amp;Data!H198&amp;".png"</f>
        <v>img/flowers/T227-1A.png</v>
      </c>
    </row>
    <row r="199" spans="1:10" x14ac:dyDescent="0.25">
      <c r="A199" t="str">
        <f>products_export!A199</f>
        <v>Treasured Lilies Spray</v>
      </c>
      <c r="B199" s="10" t="str">
        <f>products_export!E199</f>
        <v xml:space="preserve">This glorious spray includes peach asiatic lilies, orange gerberas, orange carnations, peach stock and white cushion spray chrysanthemums, accented with flat cedar, leatherleaf fern and lemon leaf. </v>
      </c>
      <c r="C199" s="16" t="str">
        <f>products_export!H199</f>
        <v>Standing Arrangements</v>
      </c>
      <c r="D199" s="15">
        <f>products_export!K199</f>
        <v>57.5</v>
      </c>
      <c r="E199" s="15">
        <f>products_export!L199</f>
        <v>85</v>
      </c>
      <c r="F199" s="10" t="str">
        <f>products_export!O199</f>
        <v>https://cdn.shopify.com/s/files/1/0790/8529/products/T273-2A.jpeg?v=1425992841</v>
      </c>
      <c r="G199" s="18" t="str">
        <f>products_export!P199</f>
        <v>(display image: Treasured Lilies Spray)</v>
      </c>
      <c r="H199" t="str">
        <f>products_export!M196</f>
        <v>T250-2A</v>
      </c>
      <c r="I199">
        <f>products_export!N199</f>
        <v>124.95</v>
      </c>
      <c r="J199" s="7" t="str">
        <f>"img/flowers/"&amp;Data!H199&amp;".png"</f>
        <v>img/flowers/T250-2A.png</v>
      </c>
    </row>
    <row r="200" spans="1:10" x14ac:dyDescent="0.25">
      <c r="A200" t="str">
        <f>products_export!A200</f>
        <v>Tropical Paradise Spray</v>
      </c>
      <c r="B200" s="10" t="str">
        <f>products_export!E200</f>
        <v>One spray on an easel with pink ginger, purple dendrobium orchids and a single king protea.</v>
      </c>
      <c r="C200" s="16" t="str">
        <f>products_export!H200</f>
        <v>Standing Arrangements</v>
      </c>
      <c r="D200" s="15">
        <f>products_export!K200</f>
        <v>60</v>
      </c>
      <c r="E200" s="15">
        <f>products_export!L200</f>
        <v>132.5</v>
      </c>
      <c r="F200" s="10" t="str">
        <f>products_export!O200</f>
        <v>https://cdn.shopify.com/s/files/1/0790/8529/products/34984.jpeg?v=1425992902</v>
      </c>
      <c r="G200" s="18" t="str">
        <f>products_export!P200</f>
        <v>(display image: Tropical Paradise Spray)</v>
      </c>
      <c r="H200" t="str">
        <f>products_export!M197</f>
        <v>T234-1A</v>
      </c>
      <c r="I200">
        <f>products_export!N200</f>
        <v>129.94999999999999</v>
      </c>
      <c r="J200" s="7" t="str">
        <f>"img/flowers/"&amp;Data!H200&amp;".png"</f>
        <v>img/flowers/T234-1A.png</v>
      </c>
    </row>
    <row r="201" spans="1:10" x14ac:dyDescent="0.25">
      <c r="A201" t="str">
        <f>products_export!A201</f>
        <v>Tropical Tribute Spray</v>
      </c>
      <c r="B201" s="10" t="str">
        <f>products_export!E201</f>
        <v>A breathtaking tropical assortment of flowers such as yellow asiatic lilies with orange orchids and roses, red gladioli and protea, and yellow chrysanthemums, delivered on an easel.</v>
      </c>
      <c r="C201" s="16" t="str">
        <f>products_export!H201</f>
        <v>Standing Arrangements</v>
      </c>
      <c r="D201" s="15">
        <f>products_export!K201</f>
        <v>72.5</v>
      </c>
      <c r="E201" s="15">
        <f>products_export!L201</f>
        <v>115</v>
      </c>
      <c r="F201" s="10" t="str">
        <f>products_export!O201</f>
        <v>https://cdn.shopify.com/s/files/1/0790/8529/products/T245-1A.jpeg?v=1425992765</v>
      </c>
      <c r="G201" s="18" t="str">
        <f>products_export!P201</f>
        <v>(display image: Tropical Tribute Spray)</v>
      </c>
      <c r="H201" t="str">
        <f>products_export!M198</f>
        <v>T104-1A</v>
      </c>
      <c r="I201">
        <f>products_export!N201</f>
        <v>197.95</v>
      </c>
      <c r="J201" s="7" t="str">
        <f>"img/flowers/"&amp;Data!H201&amp;".png"</f>
        <v>img/flowers/T104-1A.png</v>
      </c>
    </row>
    <row r="202" spans="1:10" x14ac:dyDescent="0.25">
      <c r="A202" t="str">
        <f>products_export!A202</f>
        <v>Truly Beloved Bouquet</v>
      </c>
      <c r="B202" s="10" t="str">
        <f>products_export!E202</f>
        <v>Red roses, white alstroemeria and red carnations, accented with assorted greenery.</v>
      </c>
      <c r="C202" s="16" t="str">
        <f>products_export!H202</f>
        <v>Funeral Baskets</v>
      </c>
      <c r="D202" s="15">
        <f>products_export!K202</f>
        <v>55</v>
      </c>
      <c r="E202" s="15">
        <f>products_export!L202</f>
        <v>57.5</v>
      </c>
      <c r="F202" s="10" t="str">
        <f>products_export!O202</f>
        <v>https://cdn.shopify.com/s/files/1/0790/8529/products/T260-1A.jpeg?v=1425992802</v>
      </c>
      <c r="G202" s="18" t="str">
        <f>products_export!P202</f>
        <v>(display image: Truly Beloved Bouquet)</v>
      </c>
      <c r="H202" t="str">
        <f>products_export!M199</f>
        <v>T273-2A</v>
      </c>
      <c r="I202">
        <f>products_export!N202</f>
        <v>125</v>
      </c>
      <c r="J202" s="7" t="str">
        <f>"img/flowers/"&amp;Data!H202&amp;".png"</f>
        <v>img/flowers/T273-2A.png</v>
      </c>
    </row>
    <row r="203" spans="1:10" x14ac:dyDescent="0.25">
      <c r="A203" t="str">
        <f>products_export!A203</f>
        <v>Vivid Recollections</v>
      </c>
      <c r="B203" s="10" t="str">
        <f>products_export!E203</f>
        <v>Bright flowers such as yellow asiatic lilies, snapdragons and daisy spray chrysanthemums along with green gladioli, purple alstroemeria and fresh greenery are beautifully delivered in a natural basket.</v>
      </c>
      <c r="C203" s="16" t="str">
        <f>products_export!H203</f>
        <v>Funeral Baskets</v>
      </c>
      <c r="D203" s="15">
        <f>products_export!K203</f>
        <v>47.5</v>
      </c>
      <c r="E203" s="15">
        <f>products_export!L203</f>
        <v>75</v>
      </c>
      <c r="F203" s="10" t="str">
        <f>products_export!O203</f>
        <v>https://cdn.shopify.com/s/files/1/0790/8529/products/T218-4A.jpeg?v=1425992702</v>
      </c>
      <c r="G203" s="18" t="str">
        <f>products_export!P203</f>
        <v>(display image: Vivid Recollections)</v>
      </c>
      <c r="H203" t="str">
        <f>products_export!M200</f>
        <v>TF213-3</v>
      </c>
      <c r="I203">
        <f>products_export!N203</f>
        <v>94.95</v>
      </c>
      <c r="J203" s="7" t="str">
        <f>"img/flowers/"&amp;Data!H203&amp;".png"</f>
        <v>img/flowers/TF213-3.png</v>
      </c>
    </row>
    <row r="204" spans="1:10" x14ac:dyDescent="0.25">
      <c r="A204" t="str">
        <f>products_export!A204</f>
        <v>Warm Thoughts Arrangement</v>
      </c>
      <c r="B204" s="10" t="str">
        <f>products_export!E204</f>
        <v>One arrangement with pink carnations, yellow and lavender daisies, and yellow gladioli, along with a pink ribbon, is delivered in a white container.</v>
      </c>
      <c r="C204" s="16" t="str">
        <f>products_export!H204</f>
        <v>Funeral Baskets</v>
      </c>
      <c r="D204" s="15">
        <f>products_export!K204</f>
        <v>60</v>
      </c>
      <c r="E204" s="15">
        <f>products_export!L204</f>
        <v>85</v>
      </c>
      <c r="F204" s="10" t="str">
        <f>products_export!O204</f>
        <v>https://cdn.shopify.com/s/files/1/0790/8529/products/T12Z104A.jpeg?v=1425992870</v>
      </c>
      <c r="G204" s="18" t="str">
        <f>products_export!P204</f>
        <v>(display image: Warm Thoughts Arrangement)</v>
      </c>
      <c r="H204" t="str">
        <f>products_export!M201</f>
        <v>T245-1A</v>
      </c>
      <c r="I204">
        <f>products_export!N204</f>
        <v>79.95</v>
      </c>
      <c r="J204" s="7" t="str">
        <f>"img/flowers/"&amp;Data!H204&amp;".png"</f>
        <v>img/flowers/T245-1A.png</v>
      </c>
    </row>
    <row r="205" spans="1:10" x14ac:dyDescent="0.25">
      <c r="A205" t="str">
        <f>products_export!A205</f>
        <v>Warmest Remembrance Casket Spray</v>
      </c>
      <c r="B205" s="10" t="str">
        <f>products_export!E205</f>
        <v>Peach roses, light pink spray roses, coral spray roses, light orange gerberas, light orange carnations, light yellow stock and peach hypericum, accented with satin ribbon and assorted greenery.</v>
      </c>
      <c r="C205" s="16" t="str">
        <f>products_export!H205</f>
        <v>Casket Sprays</v>
      </c>
      <c r="D205" s="15">
        <f>products_export!K205</f>
        <v>125</v>
      </c>
      <c r="E205" s="15">
        <f>products_export!L205</f>
        <v>45</v>
      </c>
      <c r="F205" s="10" t="str">
        <f>products_export!O205</f>
        <v>https://cdn.shopify.com/s/files/1/0790/8529/products/T266-3A.jpeg?v=1425992824</v>
      </c>
      <c r="G205" s="18" t="str">
        <f>products_export!P205</f>
        <v>(display image: Warmest Remembrance Casket Spray)_x000D_Warmest Remembrance Casket Spray)</v>
      </c>
      <c r="H205" t="str">
        <f>products_export!M202</f>
        <v>T260-1A</v>
      </c>
      <c r="I205">
        <f>products_export!N205</f>
        <v>354.99</v>
      </c>
      <c r="J205" s="7" t="str">
        <f>"img/flowers/"&amp;Data!H205&amp;".png"</f>
        <v>img/flowers/T260-1A.png</v>
      </c>
    </row>
    <row r="206" spans="1:10" x14ac:dyDescent="0.25">
      <c r="A206" t="str">
        <f>products_export!A206</f>
        <v>White Garden</v>
      </c>
      <c r="B206" s="10" t="str">
        <f>products_export!E206</f>
        <v>Dieffenbachia, fern, ivy and spathiphyllum arrive in a simple round dish.</v>
      </c>
      <c r="C206" s="16" t="str">
        <f>products_export!H206</f>
        <v>House Plants</v>
      </c>
      <c r="D206" s="15">
        <f>products_export!K206</f>
        <v>32.5</v>
      </c>
      <c r="E206" s="15">
        <f>products_export!L206</f>
        <v>37.5</v>
      </c>
      <c r="F206" s="10" t="str">
        <f>products_export!O206</f>
        <v>https://cdn.shopify.com/s/files/1/0790/8529/products/T100-3A.jpeg?v=1425992867</v>
      </c>
      <c r="G206" s="18" t="str">
        <f>products_export!P206</f>
        <v>(display image: White Garden)</v>
      </c>
      <c r="H206" t="str">
        <f>products_export!M203</f>
        <v>T218-4A</v>
      </c>
      <c r="I206">
        <f>products_export!N206</f>
        <v>59.95</v>
      </c>
      <c r="J206" s="7" t="str">
        <f>"img/flowers/"&amp;Data!H206&amp;".png"</f>
        <v>img/flowers/T218-4A.png</v>
      </c>
    </row>
    <row r="207" spans="1:10" x14ac:dyDescent="0.25">
      <c r="A207" t="str">
        <f>products_export!A207</f>
        <v>White Promises Spray</v>
      </c>
      <c r="B207" s="10" t="str">
        <f>products_export!E207</f>
        <v>A traditional spray,  decorated with white carnations, chrysanthemums and gladioli, is accented with rich green foliage, delivered on an easel.</v>
      </c>
      <c r="C207" s="16" t="str">
        <f>products_export!H207</f>
        <v>Standing Arrangements</v>
      </c>
      <c r="D207" s="15">
        <f>products_export!K207</f>
        <v>80</v>
      </c>
      <c r="E207" s="15">
        <f>products_export!L207</f>
        <v>120</v>
      </c>
      <c r="F207" s="10" t="str">
        <f>products_export!O207</f>
        <v>https://cdn.shopify.com/s/files/1/0790/8529/products/34885.jpeg?v=1425992875</v>
      </c>
      <c r="G207" s="18" t="str">
        <f>products_export!P207</f>
        <v>(display image: White Promises Spray)</v>
      </c>
      <c r="H207" t="str">
        <f>products_export!M204</f>
        <v>TF184-3</v>
      </c>
      <c r="I207">
        <f>products_export!N207</f>
        <v>129.94999999999999</v>
      </c>
      <c r="J207" s="7" t="str">
        <f>"img/flowers/"&amp;Data!H207&amp;".png"</f>
        <v>img/flowers/TF184-3.png</v>
      </c>
    </row>
    <row r="208" spans="1:10" x14ac:dyDescent="0.25">
      <c r="A208" t="str">
        <f>products_export!A208</f>
        <v>White Simplicity Basket</v>
      </c>
      <c r="B208" s="10" t="str">
        <f>products_export!E208</f>
        <v>White carnations and decorative foliage is delivered in a natural-textured basket.</v>
      </c>
      <c r="C208" s="16" t="str">
        <f>products_export!H208</f>
        <v>Floral Baskets</v>
      </c>
      <c r="D208" s="15">
        <f>products_export!K208</f>
        <v>60</v>
      </c>
      <c r="E208" s="15">
        <f>products_export!L208</f>
        <v>85</v>
      </c>
      <c r="F208" s="10" t="str">
        <f>products_export!O208</f>
        <v>https://cdn.shopify.com/s/files/1/0790/8529/products/34875.jpeg?v=1425992872</v>
      </c>
      <c r="G208" s="18" t="str">
        <f>products_export!P208</f>
        <v>(display image: White Simplicity Basket)</v>
      </c>
      <c r="H208" t="str">
        <f>products_export!M205</f>
        <v>T266-3A</v>
      </c>
      <c r="I208">
        <f>products_export!N208</f>
        <v>69.95</v>
      </c>
      <c r="J208" s="7" t="str">
        <f>"img/flowers/"&amp;Data!H208&amp;".png"</f>
        <v>img/flowers/T266-3A.png</v>
      </c>
    </row>
    <row r="209" spans="1:10" x14ac:dyDescent="0.25">
      <c r="A209" t="str">
        <f>products_export!A209</f>
        <v>With Affection Nosegay</v>
      </c>
      <c r="B209" s="10" t="str">
        <f>products_export!E209</f>
        <v>Gorgeous peach roses are arranged with light yellow spray roses, pink alstroemeria, light yellow carnations, miniature peach carnations, pitta negra and variegated ivy.</v>
      </c>
      <c r="C209" s="16" t="str">
        <f>products_export!H209</f>
        <v>Casket Sprays</v>
      </c>
      <c r="D209" s="15">
        <f>products_export!K209</f>
        <v>22.5</v>
      </c>
      <c r="E209" s="15">
        <f>products_export!L209</f>
        <v>20</v>
      </c>
      <c r="F209" s="10" t="str">
        <f>products_export!O209</f>
        <v>https://cdn.shopify.com/s/files/1/0790/8529/products/T273-3A.jpg?v=1426183523</v>
      </c>
      <c r="G209" s="18" t="str">
        <f>products_export!P209</f>
        <v>(display image: With Affection Nosegay)</v>
      </c>
      <c r="H209" t="str">
        <f>products_export!M206</f>
        <v>TF139-2</v>
      </c>
      <c r="I209">
        <f>products_export!N209</f>
        <v>59.95</v>
      </c>
      <c r="J209" s="7" t="str">
        <f>"img/flowers/"&amp;Data!H209&amp;".png"</f>
        <v>img/flowers/TF139-2.png</v>
      </c>
    </row>
    <row r="210" spans="1:10" x14ac:dyDescent="0.25">
      <c r="A210" t="str">
        <f>products_export!A210</f>
        <v>With Distinction</v>
      </c>
      <c r="B210" s="10" t="str">
        <f>products_export!E210</f>
        <v>A beautiful mix of all-American red, white and blue flowers such as hydrangea, roses, miniature carnations, snapdragons, chrysanthemums and more are perfectly arranged in a white urn.</v>
      </c>
      <c r="C210" s="16" t="str">
        <f>products_export!H210</f>
        <v>Funeral Baskets</v>
      </c>
      <c r="D210" s="15">
        <f>products_export!K210</f>
        <v>77.5</v>
      </c>
      <c r="E210" s="15">
        <f>products_export!L210</f>
        <v>87.5</v>
      </c>
      <c r="F210" s="10" t="str">
        <f>products_export!O210</f>
        <v>https://cdn.shopify.com/s/files/1/0790/8529/products/T240-1A.jpeg?v=1425992750</v>
      </c>
      <c r="G210" s="18" t="str">
        <f>products_export!P210</f>
        <v>(display image: With Distinction)</v>
      </c>
      <c r="H210" t="str">
        <f>products_export!M207</f>
        <v>TF188-2</v>
      </c>
      <c r="I210">
        <f>products_export!N210</f>
        <v>157.94999999999999</v>
      </c>
      <c r="J210" s="7" t="str">
        <f>"img/flowers/"&amp;Data!H210&amp;".png"</f>
        <v>img/flowers/TF188-2.png</v>
      </c>
    </row>
    <row r="211" spans="1:10" x14ac:dyDescent="0.25">
      <c r="A211" t="str">
        <f>products_export!A211</f>
        <v>Your Light Shines</v>
      </c>
      <c r="B211" s="10" t="str">
        <f>products_export!E211</f>
        <v>Lavender and pink flowers such as roses, hydrangea, monte cassino asters, eucalyptus and salal are arranged in a clear glass hurricane vase.</v>
      </c>
      <c r="C211" s="16" t="str">
        <f>products_export!H211</f>
        <v>Floral Vases</v>
      </c>
      <c r="D211" s="15">
        <f>products_export!K211</f>
        <v>40</v>
      </c>
      <c r="E211" s="15">
        <f>products_export!L211</f>
        <v>42.5</v>
      </c>
      <c r="F211" s="10" t="str">
        <f>products_export!O211</f>
        <v>https://cdn.shopify.com/s/files/1/0790/8529/products/T253-3A.jpeg?v=1425992788</v>
      </c>
      <c r="G211" s="18" t="str">
        <f>products_export!P211</f>
        <v>(display image: Your Light Shines)</v>
      </c>
      <c r="H211" t="str">
        <f>products_export!M208</f>
        <v>TF186-3</v>
      </c>
      <c r="I211">
        <f>products_export!N211</f>
        <v>130</v>
      </c>
      <c r="J211" s="7" t="str">
        <f>"img/flowers/"&amp;Data!H211&amp;".png"</f>
        <v>img/flowers/TF186-3.png</v>
      </c>
    </row>
    <row r="212" spans="1:10" x14ac:dyDescent="0.25">
      <c r="A212" t="str">
        <f>products_export!A212</f>
        <v>Your Majesty</v>
      </c>
      <c r="B212" s="10" t="str">
        <f>products_export!E212</f>
        <v>A lovely mix of blue hydrangea, green cymbidium orchids, mokara orchids, lavender roses and lots more are delivered in a footed and flared glass vase.</v>
      </c>
      <c r="C212" s="16" t="str">
        <f>products_export!H212</f>
        <v>Floral Vases</v>
      </c>
      <c r="D212" s="15">
        <f>products_export!K212</f>
        <v>57.5</v>
      </c>
      <c r="E212" s="15">
        <f>products_export!L212</f>
        <v>52.5</v>
      </c>
      <c r="F212" s="10" t="str">
        <f>products_export!O212</f>
        <v>https://cdn.shopify.com/s/files/1/0790/8529/products/T80-1A.jpeg?v=1425992853</v>
      </c>
      <c r="G212" s="18" t="str">
        <f>products_export!P212</f>
        <v>(display image: Your Majesty)</v>
      </c>
      <c r="H212" t="str">
        <f>products_export!M209</f>
        <v>T273-3A</v>
      </c>
      <c r="I212">
        <f>products_export!N212</f>
        <v>197.95</v>
      </c>
      <c r="J212" s="7" t="str">
        <f>"img/flowers/"&amp;Data!H212&amp;".png"</f>
        <v>img/flowers/T273-3A.png</v>
      </c>
    </row>
    <row r="213" spans="1:10" x14ac:dyDescent="0.25">
      <c r="A213">
        <f>products_export!A213</f>
        <v>0</v>
      </c>
      <c r="B213" s="10">
        <f>products_export!E213</f>
        <v>0</v>
      </c>
      <c r="C213" s="16">
        <f>products_export!H213</f>
        <v>0</v>
      </c>
      <c r="D213" s="15">
        <f>products_export!K213</f>
        <v>0</v>
      </c>
      <c r="E213" s="15">
        <f>products_export!L213</f>
        <v>0</v>
      </c>
      <c r="F213" s="10">
        <f>products_export!O213</f>
        <v>0</v>
      </c>
      <c r="G213" s="18">
        <f>products_export!P213</f>
        <v>0</v>
      </c>
      <c r="H213" t="str">
        <f>products_export!M210</f>
        <v>T240-1A</v>
      </c>
      <c r="I213">
        <f>products_export!N213</f>
        <v>0</v>
      </c>
      <c r="J213" s="7" t="str">
        <f>"img/flowers/"&amp;Data!H213&amp;".png"</f>
        <v>img/flowers/T240-1A.png</v>
      </c>
    </row>
    <row r="214" spans="1:10" x14ac:dyDescent="0.25">
      <c r="A214">
        <f>products_export!A214</f>
        <v>0</v>
      </c>
      <c r="B214" s="10">
        <f>products_export!E214</f>
        <v>0</v>
      </c>
      <c r="C214" s="16">
        <f>products_export!H214</f>
        <v>0</v>
      </c>
      <c r="D214" s="15">
        <f>products_export!K214</f>
        <v>0</v>
      </c>
      <c r="E214" s="15">
        <f>products_export!L214</f>
        <v>0</v>
      </c>
      <c r="F214" s="10">
        <f>products_export!O214</f>
        <v>0</v>
      </c>
      <c r="G214" s="18">
        <f>products_export!P214</f>
        <v>0</v>
      </c>
      <c r="H214" t="str">
        <f>products_export!M211</f>
        <v>T253-3A</v>
      </c>
      <c r="I214">
        <f>products_export!N214</f>
        <v>0</v>
      </c>
      <c r="J214" s="7" t="str">
        <f>"img/flowers/"&amp;Data!H214&amp;".png"</f>
        <v>img/flowers/T253-3A.png</v>
      </c>
    </row>
    <row r="215" spans="1:10" x14ac:dyDescent="0.25">
      <c r="A215">
        <f>products_export!A215</f>
        <v>0</v>
      </c>
      <c r="B215" s="10">
        <f>products_export!E215</f>
        <v>0</v>
      </c>
      <c r="C215" s="16">
        <f>products_export!H215</f>
        <v>0</v>
      </c>
      <c r="D215" s="15">
        <f>products_export!K215</f>
        <v>0</v>
      </c>
      <c r="E215" s="15">
        <f>products_export!L215</f>
        <v>0</v>
      </c>
      <c r="F215" s="10">
        <f>products_export!O215</f>
        <v>0</v>
      </c>
      <c r="G215" s="18">
        <f>products_export!P215</f>
        <v>0</v>
      </c>
      <c r="H215" t="str">
        <f>products_export!M212</f>
        <v>T80-1A</v>
      </c>
      <c r="I215">
        <f>products_export!N215</f>
        <v>0</v>
      </c>
      <c r="J215" s="7" t="str">
        <f>"img/flowers/"&amp;Data!H215&amp;".png"</f>
        <v>img/flowers/T80-1A.png</v>
      </c>
    </row>
    <row r="216" spans="1:10" x14ac:dyDescent="0.25">
      <c r="D216" s="15"/>
      <c r="E216" s="15"/>
    </row>
    <row r="217" spans="1:10" x14ac:dyDescent="0.25">
      <c r="D217" s="15"/>
      <c r="E217" s="15"/>
    </row>
    <row r="218" spans="1:10" x14ac:dyDescent="0.25">
      <c r="D218" s="15"/>
      <c r="E218" s="15"/>
    </row>
    <row r="219" spans="1:10" x14ac:dyDescent="0.25">
      <c r="D219" s="15"/>
      <c r="E219" s="15"/>
    </row>
    <row r="220" spans="1:10" x14ac:dyDescent="0.25">
      <c r="D220" s="15"/>
      <c r="E220" s="15"/>
    </row>
    <row r="221" spans="1:10" x14ac:dyDescent="0.25">
      <c r="D221" s="15"/>
      <c r="E221" s="15"/>
    </row>
    <row r="222" spans="1:10" x14ac:dyDescent="0.25">
      <c r="D222" s="15"/>
      <c r="E222" s="15"/>
    </row>
    <row r="223" spans="1:10" x14ac:dyDescent="0.25">
      <c r="D223" s="15"/>
      <c r="E223" s="15"/>
    </row>
    <row r="224" spans="1:10" x14ac:dyDescent="0.25">
      <c r="D224" s="15"/>
      <c r="E224" s="15"/>
    </row>
    <row r="225" spans="4:5" x14ac:dyDescent="0.25">
      <c r="D225" s="15"/>
      <c r="E225" s="15"/>
    </row>
    <row r="226" spans="4:5" x14ac:dyDescent="0.25">
      <c r="D226" s="15"/>
      <c r="E226" s="15"/>
    </row>
    <row r="227" spans="4:5" x14ac:dyDescent="0.25">
      <c r="D227" s="15"/>
      <c r="E227" s="1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products_export</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Dad</dc:creator>
  <cp:lastModifiedBy>Dad</cp:lastModifiedBy>
  <dcterms:created xsi:type="dcterms:W3CDTF">2015-06-15T18:25:08Z</dcterms:created>
  <dcterms:modified xsi:type="dcterms:W3CDTF">2015-08-03T16:58:17Z</dcterms:modified>
</cp:coreProperties>
</file>